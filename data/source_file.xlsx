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汇总\读取标准模板生成换届报告数据汇总表\读取标准模板生成换届报告数据汇总表\DS修复后的inject_biz_summary测试\"/>
    </mc:Choice>
  </mc:AlternateContent>
  <xr:revisionPtr revIDLastSave="0" documentId="13_ncr:1_{586F3CE8-C4EB-4F78-B60F-164368A3DD76}" xr6:coauthVersionLast="47" xr6:coauthVersionMax="47" xr10:uidLastSave="{00000000-0000-0000-0000-000000000000}"/>
  <bookViews>
    <workbookView xWindow="-120" yWindow="-120" windowWidth="20730" windowHeight="11160" tabRatio="939" firstSheet="11" activeTab="18" xr2:uid="{00000000-000D-0000-FFFF-FFFF00000000}"/>
  </bookViews>
  <sheets>
    <sheet name="财务报表汇总表" sheetId="109" state="hidden" r:id="rId1"/>
    <sheet name="2017资产负债表" sheetId="112" r:id="rId2"/>
    <sheet name="2017业务活动表" sheetId="113" r:id="rId3"/>
    <sheet name="2018资产负债表 " sheetId="114" r:id="rId4"/>
    <sheet name="2018业务活动表" sheetId="115" r:id="rId5"/>
    <sheet name="2019资产负债表  " sheetId="116" r:id="rId6"/>
    <sheet name="2019业务活动表" sheetId="117" r:id="rId7"/>
    <sheet name="2020资产负债表" sheetId="118" r:id="rId8"/>
    <sheet name="2020业务活动表" sheetId="119" r:id="rId9"/>
    <sheet name="2021资产负债表" sheetId="120" r:id="rId10"/>
    <sheet name="2021业务活动表" sheetId="121" r:id="rId11"/>
    <sheet name="2022资产负债表 " sheetId="122" r:id="rId12"/>
    <sheet name="2022业务活动表" sheetId="123" r:id="rId13"/>
    <sheet name="2023资产负债表" sheetId="124" r:id="rId14"/>
    <sheet name="2023业务活动表" sheetId="125" r:id="rId15"/>
    <sheet name="2024资产负债表 " sheetId="107" r:id="rId16"/>
    <sheet name="2024业务活动表" sheetId="108" r:id="rId17"/>
    <sheet name="2025资产负债表" sheetId="126" r:id="rId18"/>
    <sheet name="2025业务活动表" sheetId="127" r:id="rId19"/>
    <sheet name="母公司所有者权益变动表(有限责任公司) " sheetId="75" state="hidden" r:id="rId20"/>
  </sheets>
  <definedNames>
    <definedName name="_xlnm.Database" localSheetId="19">#REF!</definedName>
    <definedName name="_xlnm.Database">#REF!</definedName>
    <definedName name="_xlnm.Print_Area" localSheetId="2">'2017业务活动表'!$A$1:$D$21</definedName>
    <definedName name="_xlnm.Print_Area" localSheetId="1">'2017资产负债表'!$A$1:$C$66</definedName>
    <definedName name="_xlnm.Print_Area" localSheetId="4">'2018业务活动表'!$A$1:$D$21</definedName>
    <definedName name="_xlnm.Print_Area" localSheetId="3">'2018资产负债表 '!$A$1:$C$66</definedName>
    <definedName name="_xlnm.Print_Area" localSheetId="6">'2019业务活动表'!$A$1:$D$21</definedName>
    <definedName name="_xlnm.Print_Area" localSheetId="5">'2019资产负债表  '!$A$1:$C$66</definedName>
    <definedName name="_xlnm.Print_Area" localSheetId="8">'2020业务活动表'!$A$1:$D$21</definedName>
    <definedName name="_xlnm.Print_Area" localSheetId="7">'2020资产负债表'!$A$1:$C$66</definedName>
    <definedName name="_xlnm.Print_Area" localSheetId="10">'2021业务活动表'!$A$1:$D$21</definedName>
    <definedName name="_xlnm.Print_Area" localSheetId="9">'2021资产负债表'!$A$1:$C$66</definedName>
    <definedName name="_xlnm.Print_Area" localSheetId="12">'2022业务活动表'!$A$1:$D$21</definedName>
    <definedName name="_xlnm.Print_Area" localSheetId="11">'2022资产负债表 '!$A$1:$C$66</definedName>
    <definedName name="_xlnm.Print_Area" localSheetId="14">'2023业务活动表'!$A$1:$D$21</definedName>
    <definedName name="_xlnm.Print_Area" localSheetId="13">'2023资产负债表'!$A$1:$C$66</definedName>
    <definedName name="_xlnm.Print_Area" localSheetId="15">'2024资产负债表 '!$A$1:$C$66</definedName>
    <definedName name="_xlnm.Print_Area" localSheetId="17">'2025资产负债表'!$A$1:$C$66</definedName>
    <definedName name="_xlnm.Print_Area" localSheetId="19">'母公司所有者权益变动表(有限责任公司) '!$A$1:$N$36,'母公司所有者权益变动表(有限责任公司) '!$A$39:$N$74</definedName>
    <definedName name="明细分类账" localSheetId="19">#REF!</definedName>
    <definedName name="明细分类账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27" l="1"/>
  <c r="D19" i="108"/>
  <c r="G56" i="107" s="1"/>
  <c r="G56" i="124"/>
  <c r="D19" i="125"/>
  <c r="G56" i="122"/>
  <c r="D21" i="123"/>
  <c r="D19" i="123"/>
  <c r="C21" i="123"/>
  <c r="C19" i="123"/>
  <c r="C12" i="123"/>
  <c r="G56" i="120"/>
  <c r="D19" i="121"/>
  <c r="G56" i="118"/>
  <c r="D19" i="119"/>
  <c r="G56" i="116"/>
  <c r="D19" i="117"/>
  <c r="D19" i="113"/>
  <c r="G56" i="112" s="1"/>
  <c r="D19" i="115"/>
  <c r="G56" i="114" s="1"/>
  <c r="F53" i="126"/>
  <c r="C36" i="126"/>
  <c r="B36" i="126"/>
  <c r="A35" i="126"/>
  <c r="C36" i="124"/>
  <c r="B36" i="124"/>
  <c r="F53" i="124"/>
  <c r="A35" i="124"/>
  <c r="C36" i="122"/>
  <c r="B36" i="122"/>
  <c r="F53" i="122"/>
  <c r="A3" i="122"/>
  <c r="A35" i="122" s="1"/>
  <c r="C36" i="120"/>
  <c r="B36" i="120"/>
  <c r="A35" i="120"/>
  <c r="C36" i="118"/>
  <c r="B36" i="118"/>
  <c r="A35" i="118"/>
  <c r="C36" i="116"/>
  <c r="B36" i="116"/>
  <c r="A35" i="116"/>
  <c r="C36" i="114"/>
  <c r="B36" i="114"/>
  <c r="A35" i="114"/>
  <c r="C36" i="112"/>
  <c r="B36" i="112"/>
  <c r="A35" i="112"/>
  <c r="N72" i="75"/>
  <c r="M72" i="75"/>
  <c r="L72" i="75"/>
  <c r="K72" i="75"/>
  <c r="J72" i="75"/>
  <c r="I72" i="75"/>
  <c r="H72" i="75"/>
  <c r="G72" i="75"/>
  <c r="F72" i="75"/>
  <c r="E72" i="75"/>
  <c r="D72" i="75"/>
  <c r="C72" i="75"/>
  <c r="B72" i="75"/>
  <c r="A72" i="75"/>
  <c r="N71" i="75"/>
  <c r="A71" i="75"/>
  <c r="N70" i="75"/>
  <c r="A70" i="75"/>
  <c r="N69" i="75"/>
  <c r="A69" i="75"/>
  <c r="N68" i="75"/>
  <c r="J68" i="75"/>
  <c r="A68" i="75"/>
  <c r="N67" i="75"/>
  <c r="F67" i="75"/>
  <c r="A67" i="75"/>
  <c r="N66" i="75"/>
  <c r="F66" i="75"/>
  <c r="A66" i="75"/>
  <c r="N65" i="75"/>
  <c r="F65" i="75"/>
  <c r="A65" i="75"/>
  <c r="N64" i="75"/>
  <c r="F64" i="75"/>
  <c r="A64" i="75"/>
  <c r="N63" i="75"/>
  <c r="G63" i="75"/>
  <c r="F63" i="75"/>
  <c r="A63" i="75"/>
  <c r="N62" i="75"/>
  <c r="M62" i="75"/>
  <c r="L62" i="75"/>
  <c r="K62" i="75"/>
  <c r="J62" i="75"/>
  <c r="I62" i="75"/>
  <c r="H62" i="75"/>
  <c r="G62" i="75"/>
  <c r="F62" i="75"/>
  <c r="E62" i="75"/>
  <c r="D62" i="75"/>
  <c r="C62" i="75"/>
  <c r="B62" i="75"/>
  <c r="A62" i="75"/>
  <c r="N61" i="75"/>
  <c r="F61" i="75"/>
  <c r="A61" i="75"/>
  <c r="N60" i="75"/>
  <c r="F60" i="75"/>
  <c r="A60" i="75"/>
  <c r="N59" i="75"/>
  <c r="F59" i="75"/>
  <c r="A59" i="75"/>
  <c r="N58" i="75"/>
  <c r="M58" i="75"/>
  <c r="F58" i="75"/>
  <c r="A58" i="75"/>
  <c r="N57" i="75"/>
  <c r="M57" i="75"/>
  <c r="L57" i="75"/>
  <c r="K57" i="75"/>
  <c r="J57" i="75"/>
  <c r="I57" i="75"/>
  <c r="H57" i="75"/>
  <c r="G57" i="75"/>
  <c r="F57" i="75"/>
  <c r="E57" i="75"/>
  <c r="D57" i="75"/>
  <c r="C57" i="75"/>
  <c r="B57" i="75"/>
  <c r="A57" i="75"/>
  <c r="N56" i="75"/>
  <c r="F56" i="75"/>
  <c r="A56" i="75"/>
  <c r="N55" i="75"/>
  <c r="F55" i="75"/>
  <c r="A55" i="75"/>
  <c r="N54" i="75"/>
  <c r="F54" i="75"/>
  <c r="A54" i="75"/>
  <c r="N53" i="75"/>
  <c r="F53" i="75"/>
  <c r="A53" i="75"/>
  <c r="N52" i="75"/>
  <c r="M52" i="75"/>
  <c r="L52" i="75"/>
  <c r="K52" i="75"/>
  <c r="J52" i="75"/>
  <c r="I52" i="75"/>
  <c r="H52" i="75"/>
  <c r="G52" i="75"/>
  <c r="F52" i="75"/>
  <c r="E52" i="75"/>
  <c r="D52" i="75"/>
  <c r="C52" i="75"/>
  <c r="B52" i="75"/>
  <c r="A52" i="75"/>
  <c r="N51" i="75"/>
  <c r="M51" i="75"/>
  <c r="I51" i="75"/>
  <c r="A51" i="75"/>
  <c r="N50" i="75"/>
  <c r="M50" i="75"/>
  <c r="L50" i="75"/>
  <c r="K50" i="75"/>
  <c r="J50" i="75"/>
  <c r="I50" i="75"/>
  <c r="H50" i="75"/>
  <c r="G50" i="75"/>
  <c r="F50" i="75"/>
  <c r="E50" i="75"/>
  <c r="D50" i="75"/>
  <c r="C50" i="75"/>
  <c r="B50" i="75"/>
  <c r="A50" i="75"/>
  <c r="N49" i="75"/>
  <c r="M49" i="75"/>
  <c r="L49" i="75"/>
  <c r="K49" i="75"/>
  <c r="H49" i="75"/>
  <c r="G49" i="75"/>
  <c r="F49" i="75"/>
  <c r="E49" i="75"/>
  <c r="D49" i="75"/>
  <c r="C49" i="75"/>
  <c r="B49" i="75"/>
  <c r="A49" i="75"/>
  <c r="N48" i="75"/>
  <c r="F48" i="75"/>
  <c r="A48" i="75"/>
  <c r="N47" i="75"/>
  <c r="F47" i="75"/>
  <c r="A47" i="75"/>
  <c r="N46" i="75"/>
  <c r="F46" i="75"/>
  <c r="A46" i="75"/>
  <c r="N45" i="75"/>
  <c r="F45" i="75"/>
  <c r="A45" i="75"/>
  <c r="F44" i="75"/>
  <c r="E44" i="75"/>
  <c r="D44" i="75"/>
  <c r="C44" i="75"/>
  <c r="N43" i="75"/>
  <c r="M43" i="75"/>
  <c r="L43" i="75"/>
  <c r="K43" i="75"/>
  <c r="J43" i="75"/>
  <c r="I43" i="75"/>
  <c r="C43" i="75"/>
  <c r="B43" i="75"/>
  <c r="B42" i="75"/>
  <c r="A39" i="75"/>
  <c r="N34" i="75"/>
  <c r="M34" i="75"/>
  <c r="L34" i="75"/>
  <c r="K34" i="75"/>
  <c r="J34" i="75"/>
  <c r="I34" i="75"/>
  <c r="H34" i="75"/>
  <c r="G34" i="75"/>
  <c r="F34" i="75"/>
  <c r="E34" i="75"/>
  <c r="D34" i="75"/>
  <c r="C34" i="75"/>
  <c r="B34" i="75"/>
  <c r="N33" i="75"/>
  <c r="N32" i="75"/>
  <c r="N31" i="75"/>
  <c r="N30" i="75"/>
  <c r="J30" i="75"/>
  <c r="N29" i="75"/>
  <c r="F29" i="75"/>
  <c r="N28" i="75"/>
  <c r="F28" i="75"/>
  <c r="N27" i="75"/>
  <c r="F27" i="75"/>
  <c r="N26" i="75"/>
  <c r="F26" i="75"/>
  <c r="N25" i="75"/>
  <c r="G25" i="75"/>
  <c r="F25" i="75"/>
  <c r="N24" i="75"/>
  <c r="M24" i="75"/>
  <c r="L24" i="75"/>
  <c r="K24" i="75"/>
  <c r="J24" i="75"/>
  <c r="I24" i="75"/>
  <c r="H24" i="75"/>
  <c r="G24" i="75"/>
  <c r="F24" i="75"/>
  <c r="E24" i="75"/>
  <c r="D24" i="75"/>
  <c r="C24" i="75"/>
  <c r="B24" i="75"/>
  <c r="N23" i="75"/>
  <c r="F23" i="75"/>
  <c r="N22" i="75"/>
  <c r="F22" i="75"/>
  <c r="N21" i="75"/>
  <c r="F21" i="75"/>
  <c r="N20" i="75"/>
  <c r="M20" i="75"/>
  <c r="F20" i="75"/>
  <c r="N19" i="75"/>
  <c r="M19" i="75"/>
  <c r="L19" i="75"/>
  <c r="K19" i="75"/>
  <c r="J19" i="75"/>
  <c r="I19" i="75"/>
  <c r="H19" i="75"/>
  <c r="G19" i="75"/>
  <c r="F19" i="75"/>
  <c r="E19" i="75"/>
  <c r="D19" i="75"/>
  <c r="C19" i="75"/>
  <c r="B19" i="75"/>
  <c r="N18" i="75"/>
  <c r="F18" i="75"/>
  <c r="N17" i="75"/>
  <c r="F17" i="75"/>
  <c r="N16" i="75"/>
  <c r="F16" i="75"/>
  <c r="N15" i="75"/>
  <c r="F15" i="75"/>
  <c r="N14" i="75"/>
  <c r="M14" i="75"/>
  <c r="L14" i="75"/>
  <c r="K14" i="75"/>
  <c r="J14" i="75"/>
  <c r="I14" i="75"/>
  <c r="H14" i="75"/>
  <c r="G14" i="75"/>
  <c r="F14" i="75"/>
  <c r="E14" i="75"/>
  <c r="D14" i="75"/>
  <c r="C14" i="75"/>
  <c r="B14" i="75"/>
  <c r="N13" i="75"/>
  <c r="M13" i="75"/>
  <c r="I13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B12" i="75"/>
  <c r="N11" i="75"/>
  <c r="M11" i="75"/>
  <c r="L11" i="75"/>
  <c r="K11" i="75"/>
  <c r="J11" i="75"/>
  <c r="I11" i="75"/>
  <c r="H11" i="75"/>
  <c r="G11" i="75"/>
  <c r="F11" i="75"/>
  <c r="E11" i="75"/>
  <c r="D11" i="75"/>
  <c r="C11" i="75"/>
  <c r="B11" i="75"/>
  <c r="N10" i="75"/>
  <c r="F10" i="75"/>
  <c r="N9" i="75"/>
  <c r="F9" i="75"/>
  <c r="N8" i="75"/>
  <c r="F8" i="75"/>
  <c r="N7" i="75"/>
  <c r="M7" i="75"/>
  <c r="L7" i="75"/>
  <c r="K7" i="75"/>
  <c r="J7" i="75"/>
  <c r="I7" i="75"/>
  <c r="H7" i="75"/>
  <c r="G7" i="75"/>
  <c r="F7" i="75"/>
  <c r="E7" i="75"/>
  <c r="D7" i="75"/>
  <c r="C7" i="75"/>
  <c r="B7" i="75"/>
  <c r="B4" i="75"/>
  <c r="A3" i="75"/>
  <c r="A41" i="75" s="1"/>
  <c r="G56" i="109"/>
  <c r="F56" i="109"/>
  <c r="E56" i="109"/>
  <c r="D56" i="109"/>
  <c r="C56" i="109"/>
  <c r="B56" i="109"/>
  <c r="G55" i="109"/>
  <c r="F55" i="109"/>
  <c r="E55" i="109"/>
  <c r="D55" i="109"/>
  <c r="C55" i="109"/>
  <c r="B55" i="109"/>
  <c r="G54" i="109"/>
  <c r="F54" i="109"/>
  <c r="E54" i="109"/>
  <c r="D54" i="109"/>
  <c r="C54" i="109"/>
  <c r="B54" i="109"/>
  <c r="G53" i="109"/>
  <c r="F53" i="109"/>
  <c r="E53" i="109"/>
  <c r="D53" i="109"/>
  <c r="C53" i="109"/>
  <c r="B53" i="109"/>
  <c r="G52" i="109"/>
  <c r="F52" i="109"/>
  <c r="E52" i="109"/>
  <c r="D52" i="109"/>
  <c r="C52" i="109"/>
  <c r="B52" i="109"/>
  <c r="G51" i="109"/>
  <c r="F51" i="109"/>
  <c r="E51" i="109"/>
  <c r="D51" i="109"/>
  <c r="C51" i="109"/>
  <c r="B51" i="109"/>
  <c r="G50" i="109"/>
  <c r="G57" i="109" s="1"/>
  <c r="F50" i="109"/>
  <c r="F57" i="109" s="1"/>
  <c r="E50" i="109"/>
  <c r="E57" i="109" s="1"/>
  <c r="D50" i="109"/>
  <c r="D57" i="109" s="1"/>
  <c r="C50" i="109"/>
  <c r="C57" i="109" s="1"/>
  <c r="B50" i="109"/>
  <c r="G49" i="109"/>
  <c r="F49" i="109"/>
  <c r="E49" i="109"/>
  <c r="D49" i="109"/>
  <c r="C49" i="109"/>
  <c r="I40" i="109"/>
  <c r="H40" i="109"/>
  <c r="G40" i="109"/>
  <c r="F40" i="109"/>
  <c r="E40" i="109"/>
  <c r="D40" i="109"/>
  <c r="C40" i="109"/>
  <c r="J40" i="109" s="1"/>
  <c r="B40" i="109"/>
  <c r="I39" i="109"/>
  <c r="H39" i="109"/>
  <c r="G39" i="109"/>
  <c r="F39" i="109"/>
  <c r="E39" i="109"/>
  <c r="D39" i="109"/>
  <c r="C39" i="109"/>
  <c r="B39" i="109"/>
  <c r="I38" i="109"/>
  <c r="H38" i="109"/>
  <c r="G38" i="109"/>
  <c r="F38" i="109"/>
  <c r="E38" i="109"/>
  <c r="D38" i="109"/>
  <c r="C38" i="109"/>
  <c r="J38" i="109" s="1"/>
  <c r="K38" i="109" s="1"/>
  <c r="B38" i="109"/>
  <c r="I37" i="109"/>
  <c r="H37" i="109"/>
  <c r="G37" i="109"/>
  <c r="F37" i="109"/>
  <c r="E37" i="109"/>
  <c r="D37" i="109"/>
  <c r="C37" i="109"/>
  <c r="B37" i="109"/>
  <c r="I36" i="109"/>
  <c r="H36" i="109"/>
  <c r="G36" i="109"/>
  <c r="F36" i="109"/>
  <c r="E36" i="109"/>
  <c r="D36" i="109"/>
  <c r="C36" i="109"/>
  <c r="B36" i="109"/>
  <c r="I35" i="109"/>
  <c r="H35" i="109"/>
  <c r="G35" i="109"/>
  <c r="F35" i="109"/>
  <c r="E35" i="109"/>
  <c r="D35" i="109"/>
  <c r="C35" i="109"/>
  <c r="J35" i="109" s="1"/>
  <c r="B35" i="109"/>
  <c r="I34" i="109"/>
  <c r="I41" i="109" s="1"/>
  <c r="H34" i="109"/>
  <c r="H41" i="109" s="1"/>
  <c r="G34" i="109"/>
  <c r="G41" i="109" s="1"/>
  <c r="F34" i="109"/>
  <c r="F41" i="109" s="1"/>
  <c r="E34" i="109"/>
  <c r="E41" i="109" s="1"/>
  <c r="D34" i="109"/>
  <c r="D41" i="109" s="1"/>
  <c r="C34" i="109"/>
  <c r="J34" i="109" s="1"/>
  <c r="B34" i="109"/>
  <c r="H33" i="109"/>
  <c r="G33" i="109"/>
  <c r="F33" i="109"/>
  <c r="E33" i="109"/>
  <c r="D33" i="109"/>
  <c r="C33" i="109"/>
  <c r="D30" i="109"/>
  <c r="C30" i="109"/>
  <c r="B30" i="109"/>
  <c r="D29" i="109"/>
  <c r="C29" i="109"/>
  <c r="B29" i="109"/>
  <c r="D28" i="109"/>
  <c r="C28" i="109"/>
  <c r="B28" i="109"/>
  <c r="I27" i="109"/>
  <c r="H27" i="109"/>
  <c r="J27" i="109" s="1"/>
  <c r="G27" i="109"/>
  <c r="D27" i="109"/>
  <c r="C27" i="109"/>
  <c r="B27" i="109"/>
  <c r="R26" i="109"/>
  <c r="Q26" i="109"/>
  <c r="O26" i="109"/>
  <c r="N26" i="109"/>
  <c r="M26" i="109"/>
  <c r="I26" i="109"/>
  <c r="H26" i="109"/>
  <c r="G26" i="109"/>
  <c r="D26" i="109"/>
  <c r="C26" i="109"/>
  <c r="B26" i="109"/>
  <c r="I25" i="109"/>
  <c r="H25" i="109"/>
  <c r="G25" i="109"/>
  <c r="D25" i="109"/>
  <c r="C25" i="109"/>
  <c r="E25" i="109" s="1"/>
  <c r="B25" i="109"/>
  <c r="R24" i="109"/>
  <c r="Q24" i="109"/>
  <c r="I24" i="109"/>
  <c r="H24" i="109"/>
  <c r="G24" i="109"/>
  <c r="D24" i="109"/>
  <c r="C24" i="109"/>
  <c r="E24" i="109" s="1"/>
  <c r="B24" i="109"/>
  <c r="R23" i="109"/>
  <c r="Q23" i="109"/>
  <c r="I23" i="109"/>
  <c r="H23" i="109"/>
  <c r="G23" i="109"/>
  <c r="D23" i="109"/>
  <c r="C23" i="109"/>
  <c r="E23" i="109" s="1"/>
  <c r="B23" i="109"/>
  <c r="R22" i="109"/>
  <c r="Q22" i="109"/>
  <c r="I22" i="109"/>
  <c r="H22" i="109"/>
  <c r="D22" i="109"/>
  <c r="C22" i="109"/>
  <c r="B22" i="109"/>
  <c r="R21" i="109"/>
  <c r="Q21" i="109"/>
  <c r="I21" i="109"/>
  <c r="H21" i="109"/>
  <c r="J21" i="109" s="1"/>
  <c r="G21" i="109"/>
  <c r="D21" i="109"/>
  <c r="C21" i="109"/>
  <c r="B21" i="109"/>
  <c r="I20" i="109"/>
  <c r="H20" i="109"/>
  <c r="G20" i="109"/>
  <c r="D20" i="109"/>
  <c r="C20" i="109"/>
  <c r="B20" i="109"/>
  <c r="I19" i="109"/>
  <c r="H19" i="109"/>
  <c r="J19" i="109" s="1"/>
  <c r="G19" i="109"/>
  <c r="D19" i="109"/>
  <c r="C19" i="109"/>
  <c r="B19" i="109"/>
  <c r="M18" i="109"/>
  <c r="I18" i="109"/>
  <c r="H18" i="109"/>
  <c r="G18" i="109"/>
  <c r="D18" i="109"/>
  <c r="C18" i="109"/>
  <c r="B18" i="109"/>
  <c r="I17" i="109"/>
  <c r="H17" i="109"/>
  <c r="G17" i="109"/>
  <c r="D17" i="109"/>
  <c r="C17" i="109"/>
  <c r="E17" i="109" s="1"/>
  <c r="B17" i="109"/>
  <c r="I16" i="109"/>
  <c r="H16" i="109"/>
  <c r="G16" i="109"/>
  <c r="D16" i="109"/>
  <c r="C16" i="109"/>
  <c r="B16" i="109"/>
  <c r="I15" i="109"/>
  <c r="H15" i="109"/>
  <c r="G15" i="109"/>
  <c r="D15" i="109"/>
  <c r="C15" i="109"/>
  <c r="E15" i="109" s="1"/>
  <c r="B15" i="109"/>
  <c r="M14" i="109"/>
  <c r="I14" i="109"/>
  <c r="H14" i="109"/>
  <c r="J14" i="109" s="1"/>
  <c r="G14" i="109"/>
  <c r="D14" i="109"/>
  <c r="C14" i="109"/>
  <c r="B14" i="109"/>
  <c r="I13" i="109"/>
  <c r="H13" i="109"/>
  <c r="G13" i="109"/>
  <c r="D13" i="109"/>
  <c r="C13" i="109"/>
  <c r="B13" i="109"/>
  <c r="I12" i="109"/>
  <c r="H12" i="109"/>
  <c r="J12" i="109" s="1"/>
  <c r="G12" i="109"/>
  <c r="D12" i="109"/>
  <c r="C12" i="109"/>
  <c r="B12" i="109"/>
  <c r="N11" i="109"/>
  <c r="M11" i="109"/>
  <c r="M15" i="109" s="1"/>
  <c r="I11" i="109"/>
  <c r="H11" i="109"/>
  <c r="J11" i="109" s="1"/>
  <c r="G11" i="109"/>
  <c r="D11" i="109"/>
  <c r="C11" i="109"/>
  <c r="B11" i="109"/>
  <c r="O8" i="109"/>
  <c r="N8" i="109"/>
  <c r="M8" i="109"/>
  <c r="J8" i="109"/>
  <c r="I8" i="109"/>
  <c r="H8" i="109"/>
  <c r="Q7" i="109"/>
  <c r="C7" i="109"/>
  <c r="Q6" i="109"/>
  <c r="D6" i="109"/>
  <c r="C6" i="109"/>
  <c r="Q5" i="109"/>
  <c r="D5" i="109"/>
  <c r="C5" i="109"/>
  <c r="E5" i="109" s="1"/>
  <c r="Q4" i="109"/>
  <c r="D3" i="109"/>
  <c r="C3" i="109"/>
  <c r="G52" i="107" l="1"/>
  <c r="G56" i="126"/>
  <c r="F54" i="126"/>
  <c r="F52" i="126"/>
  <c r="J39" i="109"/>
  <c r="K39" i="109" s="1"/>
  <c r="F54" i="124"/>
  <c r="G53" i="124"/>
  <c r="G52" i="124"/>
  <c r="G55" i="124"/>
  <c r="G57" i="124" s="1"/>
  <c r="G54" i="124"/>
  <c r="F52" i="124"/>
  <c r="A3" i="125"/>
  <c r="G55" i="122"/>
  <c r="G57" i="122" s="1"/>
  <c r="G54" i="122"/>
  <c r="G53" i="122"/>
  <c r="G52" i="122"/>
  <c r="F52" i="122"/>
  <c r="F54" i="122"/>
  <c r="D31" i="109"/>
  <c r="K40" i="109"/>
  <c r="E6" i="109"/>
  <c r="E12" i="109"/>
  <c r="E14" i="109"/>
  <c r="J16" i="109"/>
  <c r="J18" i="109"/>
  <c r="E19" i="109"/>
  <c r="E21" i="109"/>
  <c r="E22" i="109"/>
  <c r="J26" i="109"/>
  <c r="J13" i="109"/>
  <c r="J20" i="109"/>
  <c r="E13" i="109"/>
  <c r="J15" i="109"/>
  <c r="J17" i="109"/>
  <c r="E20" i="109"/>
  <c r="J22" i="109"/>
  <c r="J23" i="109"/>
  <c r="J24" i="109"/>
  <c r="J25" i="109"/>
  <c r="E28" i="109"/>
  <c r="F52" i="120"/>
  <c r="F54" i="120"/>
  <c r="G52" i="120"/>
  <c r="G55" i="120"/>
  <c r="G57" i="120" s="1"/>
  <c r="G54" i="120"/>
  <c r="F53" i="120"/>
  <c r="G53" i="120"/>
  <c r="G53" i="118"/>
  <c r="G54" i="118"/>
  <c r="G52" i="118"/>
  <c r="G55" i="118"/>
  <c r="G57" i="118" s="1"/>
  <c r="F53" i="118"/>
  <c r="F54" i="118"/>
  <c r="F52" i="118"/>
  <c r="F53" i="116"/>
  <c r="F52" i="116"/>
  <c r="F54" i="116"/>
  <c r="G53" i="116"/>
  <c r="G52" i="116"/>
  <c r="G55" i="116"/>
  <c r="G57" i="116" s="1"/>
  <c r="G54" i="116"/>
  <c r="G52" i="114"/>
  <c r="G55" i="114"/>
  <c r="G54" i="114"/>
  <c r="G53" i="114"/>
  <c r="F53" i="114"/>
  <c r="F52" i="114"/>
  <c r="F54" i="114"/>
  <c r="G52" i="112"/>
  <c r="G55" i="112"/>
  <c r="G54" i="112"/>
  <c r="G53" i="112"/>
  <c r="F54" i="112"/>
  <c r="F52" i="112"/>
  <c r="F53" i="112"/>
  <c r="G54" i="107"/>
  <c r="G53" i="107"/>
  <c r="E27" i="109"/>
  <c r="E30" i="109"/>
  <c r="D7" i="109"/>
  <c r="E7" i="109" s="1"/>
  <c r="E16" i="109"/>
  <c r="E18" i="109"/>
  <c r="E26" i="109"/>
  <c r="E29" i="109"/>
  <c r="N14" i="109"/>
  <c r="O14" i="109" s="1"/>
  <c r="K35" i="109"/>
  <c r="J36" i="109"/>
  <c r="K36" i="109" s="1"/>
  <c r="C31" i="109"/>
  <c r="O11" i="109"/>
  <c r="J37" i="109"/>
  <c r="K37" i="109" s="1"/>
  <c r="E11" i="109"/>
  <c r="C41" i="109"/>
  <c r="J41" i="109" s="1"/>
  <c r="K41" i="109" s="1"/>
  <c r="K34" i="109"/>
  <c r="G57" i="114" l="1"/>
  <c r="F53" i="107"/>
  <c r="F52" i="107"/>
  <c r="G55" i="107"/>
  <c r="G57" i="107" s="1"/>
  <c r="F54" i="107"/>
  <c r="G52" i="126"/>
  <c r="G55" i="126"/>
  <c r="G57" i="126" s="1"/>
  <c r="G54" i="126"/>
  <c r="G53" i="126"/>
  <c r="G57" i="112"/>
  <c r="O15" i="109"/>
  <c r="N15" i="109"/>
  <c r="E31" i="109"/>
</calcChain>
</file>

<file path=xl/sharedStrings.xml><?xml version="1.0" encoding="utf-8"?>
<sst xmlns="http://schemas.openxmlformats.org/spreadsheetml/2006/main" count="973" uniqueCount="180">
  <si>
    <t>一、本届期初期末资产负债总体变动情况</t>
  </si>
  <si>
    <t>会计科目</t>
  </si>
  <si>
    <r>
      <rPr>
        <b/>
        <sz val="12"/>
        <rFont val="黑体"/>
        <family val="3"/>
        <charset val="134"/>
      </rPr>
      <t xml:space="preserve">项 </t>
    </r>
    <r>
      <rPr>
        <b/>
        <sz val="12"/>
        <rFont val="黑体"/>
        <family val="3"/>
        <charset val="134"/>
      </rPr>
      <t xml:space="preserve"> </t>
    </r>
    <r>
      <rPr>
        <b/>
        <sz val="12"/>
        <rFont val="黑体"/>
        <family val="3"/>
        <charset val="134"/>
      </rPr>
      <t>目</t>
    </r>
  </si>
  <si>
    <t>本届期初余额</t>
  </si>
  <si>
    <t>本届期末余额</t>
  </si>
  <si>
    <t>本届变动余额</t>
  </si>
  <si>
    <t>本届变动额</t>
  </si>
  <si>
    <t>货币资金</t>
  </si>
  <si>
    <t>资产总额</t>
  </si>
  <si>
    <t>应收款项</t>
  </si>
  <si>
    <t>负债总额</t>
  </si>
  <si>
    <t>固定资产净值</t>
  </si>
  <si>
    <t>净资产总额</t>
  </si>
  <si>
    <t>资产总额合计</t>
  </si>
  <si>
    <t>（二）本届资产构成及变动情况</t>
  </si>
  <si>
    <t>（三）本届负债构成及变动情况</t>
  </si>
  <si>
    <t>（三）净资产变动情况</t>
  </si>
  <si>
    <r>
      <rPr>
        <b/>
        <sz val="12"/>
        <color rgb="FF000000"/>
        <rFont val="黑体"/>
        <family val="3"/>
        <charset val="134"/>
      </rPr>
      <t xml:space="preserve">项 </t>
    </r>
    <r>
      <rPr>
        <b/>
        <sz val="12"/>
        <color rgb="FF000000"/>
        <rFont val="黑体"/>
        <family val="3"/>
        <charset val="134"/>
      </rPr>
      <t xml:space="preserve"> </t>
    </r>
    <r>
      <rPr>
        <b/>
        <sz val="12"/>
        <color rgb="FF000000"/>
        <rFont val="黑体"/>
        <family val="3"/>
        <charset val="134"/>
      </rPr>
      <t>目</t>
    </r>
  </si>
  <si>
    <t>限定性净资产</t>
  </si>
  <si>
    <t>非限定性净资产</t>
  </si>
  <si>
    <t>合计</t>
  </si>
  <si>
    <t>本届增加</t>
  </si>
  <si>
    <t>本届减少</t>
  </si>
  <si>
    <t>净资产变动额</t>
  </si>
  <si>
    <t>四、收支结余表（收入）</t>
  </si>
  <si>
    <t>年份</t>
  </si>
  <si>
    <t>核对合计</t>
  </si>
  <si>
    <t>校验</t>
  </si>
  <si>
    <t>四、收支结余表（支出）</t>
  </si>
  <si>
    <t>资产负债表(资产)</t>
  </si>
  <si>
    <t>会民非01表</t>
  </si>
  <si>
    <t>金额单位：元</t>
  </si>
  <si>
    <t xml:space="preserve">资     产 </t>
  </si>
  <si>
    <t>流动资产：</t>
  </si>
  <si>
    <t xml:space="preserve">  货币资金 </t>
  </si>
  <si>
    <t xml:space="preserve">  短期投资</t>
  </si>
  <si>
    <t xml:space="preserve">  应收账款</t>
  </si>
  <si>
    <t xml:space="preserve">  预付款项 </t>
  </si>
  <si>
    <t xml:space="preserve">  其他应收款 </t>
  </si>
  <si>
    <t xml:space="preserve">  存货 </t>
  </si>
  <si>
    <t xml:space="preserve">  待摊费用</t>
  </si>
  <si>
    <t xml:space="preserve">   一年内到期的非流动资产</t>
  </si>
  <si>
    <t xml:space="preserve">   其他流动资产 </t>
  </si>
  <si>
    <t xml:space="preserve"> 流动资产合计 </t>
  </si>
  <si>
    <t>长期投资：</t>
  </si>
  <si>
    <t xml:space="preserve">  长期股权投资 </t>
  </si>
  <si>
    <t xml:space="preserve">  长期债权投资</t>
  </si>
  <si>
    <t>长期投资合计</t>
  </si>
  <si>
    <t xml:space="preserve">  固定资产</t>
  </si>
  <si>
    <t xml:space="preserve">    减：累计折旧</t>
  </si>
  <si>
    <t xml:space="preserve">   固定资产净值</t>
  </si>
  <si>
    <t xml:space="preserve">   在建工程</t>
  </si>
  <si>
    <t xml:space="preserve">   文物文化资产</t>
  </si>
  <si>
    <t xml:space="preserve">   固定资产清理</t>
  </si>
  <si>
    <t xml:space="preserve"> </t>
  </si>
  <si>
    <t>固定资产合计</t>
  </si>
  <si>
    <t xml:space="preserve">  无形资产 </t>
  </si>
  <si>
    <t>受托代理资产：</t>
  </si>
  <si>
    <t xml:space="preserve">  受托代理资产</t>
  </si>
  <si>
    <t xml:space="preserve">资产总计 </t>
  </si>
  <si>
    <t>法定代表人:                  主管会计工作负责人:                   会计机构负责人:</t>
  </si>
  <si>
    <t>资产负债表(负债及净资产)</t>
  </si>
  <si>
    <t>会民非01 表</t>
  </si>
  <si>
    <t>负债及所有者权益</t>
  </si>
  <si>
    <t>流动负债：</t>
  </si>
  <si>
    <t xml:space="preserve">  短期借款</t>
  </si>
  <si>
    <t xml:space="preserve">  应付款项</t>
  </si>
  <si>
    <t xml:space="preserve">  应付工资</t>
  </si>
  <si>
    <t xml:space="preserve">  应交税金</t>
  </si>
  <si>
    <t xml:space="preserve">  预收款项</t>
  </si>
  <si>
    <t xml:space="preserve">  预提费用</t>
  </si>
  <si>
    <t xml:space="preserve">  其他应付款</t>
  </si>
  <si>
    <t xml:space="preserve">  预计负债</t>
  </si>
  <si>
    <t xml:space="preserve">  一年内到期的非流动负债</t>
  </si>
  <si>
    <t xml:space="preserve">  其他流动负债</t>
  </si>
  <si>
    <t>流动负债合计</t>
  </si>
  <si>
    <t>长期负债：</t>
  </si>
  <si>
    <t xml:space="preserve">  长期借款</t>
  </si>
  <si>
    <t>校验公式</t>
  </si>
  <si>
    <t>期初</t>
  </si>
  <si>
    <t>期末</t>
  </si>
  <si>
    <t xml:space="preserve">  长期应付款</t>
  </si>
  <si>
    <t>资产=负债+所有者权益</t>
  </si>
  <si>
    <t xml:space="preserve">  其他长期负债</t>
  </si>
  <si>
    <t>资产-负债-所有者权益=0</t>
  </si>
  <si>
    <t>长期负债合计</t>
  </si>
  <si>
    <r>
      <rPr>
        <sz val="12"/>
        <rFont val="Times New Roman"/>
        <family val="1"/>
      </rPr>
      <t>净资产</t>
    </r>
    <r>
      <rPr>
        <sz val="12"/>
        <rFont val="Times New Roman"/>
        <family val="1"/>
      </rPr>
      <t>-</t>
    </r>
    <r>
      <rPr>
        <sz val="12"/>
        <rFont val="Times New Roman"/>
        <family val="1"/>
      </rPr>
      <t>非限定性净资产-限定性净资产=0</t>
    </r>
  </si>
  <si>
    <t>期末净资产变动额</t>
  </si>
  <si>
    <t>受托代理负债：</t>
  </si>
  <si>
    <t>期末收支结余</t>
  </si>
  <si>
    <t xml:space="preserve">  受托代理负债</t>
  </si>
  <si>
    <r>
      <rPr>
        <sz val="12"/>
        <rFont val="SimSun"/>
        <charset val="134"/>
      </rPr>
      <t>期末净资产变动额</t>
    </r>
    <r>
      <rPr>
        <sz val="12"/>
        <rFont val="Times New Roman"/>
        <family val="1"/>
      </rPr>
      <t>-期末</t>
    </r>
    <r>
      <rPr>
        <sz val="12"/>
        <rFont val="SimSun"/>
        <charset val="134"/>
      </rPr>
      <t>收支结余</t>
    </r>
    <r>
      <rPr>
        <sz val="12"/>
        <rFont val="Times New Roman"/>
        <family val="1"/>
      </rPr>
      <t>=0</t>
    </r>
  </si>
  <si>
    <t>负债合计</t>
  </si>
  <si>
    <t>净资产：</t>
  </si>
  <si>
    <t xml:space="preserve">  非限定性净资产</t>
  </si>
  <si>
    <t xml:space="preserve">  限定性净资产</t>
  </si>
  <si>
    <t>净资产合计</t>
  </si>
  <si>
    <t>负债和净资产总计</t>
  </si>
  <si>
    <t>业务活动表</t>
  </si>
  <si>
    <t>会民非02表</t>
  </si>
  <si>
    <t>项     目</t>
  </si>
  <si>
    <t>行次</t>
  </si>
  <si>
    <t>2024年累计数</t>
  </si>
  <si>
    <t>一、收入</t>
  </si>
  <si>
    <t xml:space="preserve">    其中：捐赠收入</t>
  </si>
  <si>
    <t xml:space="preserve">         会费收入</t>
  </si>
  <si>
    <t xml:space="preserve">         提供服务收入</t>
  </si>
  <si>
    <t xml:space="preserve">         政府补助收入</t>
  </si>
  <si>
    <t xml:space="preserve">         投资收益</t>
  </si>
  <si>
    <t xml:space="preserve">         其他收入</t>
  </si>
  <si>
    <t>收 入 合 计</t>
  </si>
  <si>
    <t>二、费用</t>
  </si>
  <si>
    <t xml:space="preserve">   （一）业务活动成本</t>
  </si>
  <si>
    <t xml:space="preserve">   （二）管理费用</t>
  </si>
  <si>
    <t xml:space="preserve">   （三）筹资费用</t>
  </si>
  <si>
    <t xml:space="preserve">   （四）其他费用</t>
  </si>
  <si>
    <t>费 用 合 计</t>
  </si>
  <si>
    <t>三、收支结余</t>
  </si>
  <si>
    <t>四、限定性净资产转为非限定性净资产</t>
  </si>
  <si>
    <t>五、净资产变动额（若为净资产减少额，以“-”号填列）</t>
  </si>
  <si>
    <t>2023年累计数</t>
  </si>
  <si>
    <r>
      <rPr>
        <b/>
        <sz val="22"/>
        <rFont val="黑体"/>
        <family val="3"/>
        <charset val="134"/>
      </rPr>
      <t>所有者权益变动表</t>
    </r>
  </si>
  <si>
    <r>
      <rPr>
        <sz val="22"/>
        <color rgb="FFFF0000"/>
        <rFont val="宋体"/>
        <family val="3"/>
        <charset val="134"/>
      </rPr>
      <t>注：被审计单位不存在使用蓝色部分科目的，应当删除</t>
    </r>
  </si>
  <si>
    <r>
      <rPr>
        <sz val="12"/>
        <rFont val="宋体"/>
        <family val="3"/>
        <charset val="134"/>
      </rPr>
      <t>会企</t>
    </r>
    <r>
      <rPr>
        <sz val="12"/>
        <rFont val="Times New Roman"/>
        <family val="1"/>
      </rPr>
      <t>04</t>
    </r>
    <r>
      <rPr>
        <sz val="12"/>
        <rFont val="宋体"/>
        <family val="3"/>
        <charset val="134"/>
      </rPr>
      <t>表</t>
    </r>
  </si>
  <si>
    <r>
      <rPr>
        <sz val="12"/>
        <rFont val="宋体"/>
        <family val="3"/>
        <charset val="134"/>
      </rPr>
      <t>单位：人民币元</t>
    </r>
  </si>
  <si>
    <r>
      <rPr>
        <sz val="12"/>
        <rFont val="宋体"/>
        <family val="3"/>
        <charset val="134"/>
      </rPr>
      <t>项</t>
    </r>
    <r>
      <rPr>
        <sz val="12"/>
        <rFont val="Times New Roman"/>
        <family val="1"/>
      </rPr>
      <t xml:space="preserve">   </t>
    </r>
    <r>
      <rPr>
        <sz val="12"/>
        <rFont val="宋体"/>
        <family val="3"/>
        <charset val="134"/>
      </rPr>
      <t>目</t>
    </r>
  </si>
  <si>
    <t>实收资本</t>
  </si>
  <si>
    <r>
      <rPr>
        <sz val="12"/>
        <color rgb="FF0000FF"/>
        <rFont val="宋体"/>
        <family val="3"/>
        <charset val="134"/>
      </rPr>
      <t>其他权益工具</t>
    </r>
  </si>
  <si>
    <r>
      <rPr>
        <sz val="12"/>
        <rFont val="宋体"/>
        <family val="3"/>
        <charset val="134"/>
      </rPr>
      <t>资本公积</t>
    </r>
  </si>
  <si>
    <r>
      <rPr>
        <sz val="12"/>
        <rFont val="宋体"/>
        <family val="3"/>
        <charset val="134"/>
      </rPr>
      <t>减：库存股</t>
    </r>
  </si>
  <si>
    <r>
      <rPr>
        <sz val="12"/>
        <color theme="1"/>
        <rFont val="宋体"/>
        <family val="3"/>
        <charset val="134"/>
      </rPr>
      <t>其他综合收益</t>
    </r>
  </si>
  <si>
    <r>
      <rPr>
        <sz val="12"/>
        <color rgb="FF0000FF"/>
        <rFont val="宋体"/>
        <family val="3"/>
        <charset val="134"/>
      </rPr>
      <t>专项储备</t>
    </r>
  </si>
  <si>
    <r>
      <rPr>
        <sz val="12"/>
        <rFont val="宋体"/>
        <family val="3"/>
        <charset val="134"/>
      </rPr>
      <t>盈余公积</t>
    </r>
  </si>
  <si>
    <r>
      <rPr>
        <sz val="12"/>
        <color rgb="FF0000FF"/>
        <rFont val="宋体"/>
        <family val="3"/>
        <charset val="134"/>
      </rPr>
      <t>一般风险准备</t>
    </r>
  </si>
  <si>
    <r>
      <rPr>
        <sz val="12"/>
        <color theme="1"/>
        <rFont val="宋体"/>
        <family val="3"/>
        <charset val="134"/>
      </rPr>
      <t>未分配利润</t>
    </r>
  </si>
  <si>
    <r>
      <rPr>
        <sz val="12"/>
        <rFont val="宋体"/>
        <family val="3"/>
        <charset val="134"/>
      </rPr>
      <t>所有者权益合计</t>
    </r>
  </si>
  <si>
    <r>
      <rPr>
        <sz val="12"/>
        <color rgb="FF0000FF"/>
        <rFont val="宋体"/>
        <family val="3"/>
        <charset val="134"/>
      </rPr>
      <t>优先股</t>
    </r>
  </si>
  <si>
    <r>
      <rPr>
        <sz val="12"/>
        <color rgb="FF0000FF"/>
        <rFont val="宋体"/>
        <family val="3"/>
        <charset val="134"/>
      </rPr>
      <t>永续债</t>
    </r>
  </si>
  <si>
    <r>
      <rPr>
        <sz val="12"/>
        <color rgb="FF0000FF"/>
        <rFont val="宋体"/>
        <family val="3"/>
        <charset val="134"/>
      </rPr>
      <t>其他</t>
    </r>
  </si>
  <si>
    <r>
      <rPr>
        <sz val="12"/>
        <color rgb="FF0000FF"/>
        <rFont val="宋体"/>
        <family val="3"/>
        <charset val="134"/>
      </rPr>
      <t>小计</t>
    </r>
  </si>
  <si>
    <r>
      <rPr>
        <sz val="12"/>
        <rFont val="宋体"/>
        <family val="3"/>
        <charset val="134"/>
      </rPr>
      <t>一、上年年末余额</t>
    </r>
  </si>
  <si>
    <r>
      <rPr>
        <sz val="12"/>
        <rFont val="宋体"/>
        <family val="3"/>
        <charset val="134"/>
      </rPr>
      <t>加：会计政策变更</t>
    </r>
  </si>
  <si>
    <r>
      <rPr>
        <sz val="12"/>
        <rFont val="Times New Roman"/>
        <family val="1"/>
      </rPr>
      <t xml:space="preserve">       </t>
    </r>
    <r>
      <rPr>
        <sz val="12"/>
        <rFont val="宋体"/>
        <family val="3"/>
        <charset val="134"/>
      </rPr>
      <t>前期差错更正</t>
    </r>
  </si>
  <si>
    <r>
      <rPr>
        <sz val="12"/>
        <color theme="1"/>
        <rFont val="Times New Roman"/>
        <family val="1"/>
      </rPr>
      <t xml:space="preserve">       </t>
    </r>
    <r>
      <rPr>
        <sz val="12"/>
        <color theme="1"/>
        <rFont val="宋体"/>
        <family val="3"/>
        <charset val="134"/>
      </rPr>
      <t>其他</t>
    </r>
  </si>
  <si>
    <r>
      <rPr>
        <sz val="12"/>
        <rFont val="宋体"/>
        <family val="3"/>
        <charset val="134"/>
      </rPr>
      <t>二、本年年初余额</t>
    </r>
  </si>
  <si>
    <r>
      <rPr>
        <sz val="12"/>
        <rFont val="宋体"/>
        <family val="3"/>
        <charset val="134"/>
      </rPr>
      <t>三、本年增减变动金额（减少以</t>
    </r>
    <r>
      <rPr>
        <sz val="12"/>
        <rFont val="Times New Roman"/>
        <family val="1"/>
      </rPr>
      <t>“-”</t>
    </r>
    <r>
      <rPr>
        <sz val="12"/>
        <rFont val="宋体"/>
        <family val="3"/>
        <charset val="134"/>
      </rPr>
      <t>号填列）</t>
    </r>
  </si>
  <si>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（一）综合收益总额</t>
    </r>
  </si>
  <si>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（二）所有者投入和减少资本</t>
    </r>
  </si>
  <si>
    <r>
      <rPr>
        <sz val="12"/>
        <rFont val="Times New Roman"/>
        <family val="1"/>
      </rPr>
      <t xml:space="preserve">            1. </t>
    </r>
    <r>
      <rPr>
        <sz val="12"/>
        <rFont val="宋体"/>
        <family val="3"/>
        <charset val="134"/>
      </rPr>
      <t>所有者投入资本</t>
    </r>
  </si>
  <si>
    <r>
      <rPr>
        <sz val="12"/>
        <color rgb="FF0000FF"/>
        <rFont val="Times New Roman"/>
        <family val="1"/>
      </rPr>
      <t xml:space="preserve">            2. </t>
    </r>
    <r>
      <rPr>
        <sz val="12"/>
        <color rgb="FF0000FF"/>
        <rFont val="宋体"/>
        <family val="3"/>
        <charset val="134"/>
      </rPr>
      <t>其他权益工具持有者投入资本</t>
    </r>
  </si>
  <si>
    <t xml:space="preserve">            3. 股份支付计入所有者权益的金额</t>
  </si>
  <si>
    <r>
      <rPr>
        <sz val="12"/>
        <rFont val="Times New Roman"/>
        <family val="1"/>
      </rPr>
      <t xml:space="preserve">            4. </t>
    </r>
    <r>
      <rPr>
        <sz val="12"/>
        <rFont val="宋体"/>
        <family val="3"/>
        <charset val="134"/>
      </rPr>
      <t>其他</t>
    </r>
  </si>
  <si>
    <r>
      <rPr>
        <sz val="12"/>
        <rFont val="Times New Roman"/>
        <family val="1"/>
      </rPr>
      <t xml:space="preserve">  </t>
    </r>
    <r>
      <rPr>
        <sz val="12"/>
        <rFont val="宋体"/>
        <family val="3"/>
        <charset val="134"/>
      </rPr>
      <t>（三）利润分配</t>
    </r>
  </si>
  <si>
    <r>
      <rPr>
        <sz val="12"/>
        <rFont val="Times New Roman"/>
        <family val="1"/>
      </rPr>
      <t xml:space="preserve">            1. </t>
    </r>
    <r>
      <rPr>
        <sz val="12"/>
        <rFont val="宋体"/>
        <family val="3"/>
        <charset val="134"/>
      </rPr>
      <t>提取盈余公积</t>
    </r>
  </si>
  <si>
    <r>
      <rPr>
        <sz val="12"/>
        <color rgb="FF0000FF"/>
        <rFont val="Times New Roman"/>
        <family val="1"/>
      </rPr>
      <t xml:space="preserve">            2. </t>
    </r>
    <r>
      <rPr>
        <sz val="12"/>
        <color rgb="FF0000FF"/>
        <rFont val="宋体"/>
        <family val="3"/>
        <charset val="134"/>
      </rPr>
      <t>提取一般风险准备</t>
    </r>
  </si>
  <si>
    <t xml:space="preserve">            3.对所有者的分配</t>
  </si>
  <si>
    <t xml:space="preserve">  （四）所有者权益内部结转</t>
  </si>
  <si>
    <t xml:space="preserve">            1. 资本公积转增资本</t>
  </si>
  <si>
    <t xml:space="preserve">            2. 盈余公积转增资本</t>
  </si>
  <si>
    <r>
      <rPr>
        <sz val="12"/>
        <rFont val="Times New Roman"/>
        <family val="1"/>
      </rPr>
      <t xml:space="preserve">            3. </t>
    </r>
    <r>
      <rPr>
        <sz val="12"/>
        <rFont val="宋体"/>
        <family val="3"/>
        <charset val="134"/>
      </rPr>
      <t>盈余公积弥补亏损</t>
    </r>
  </si>
  <si>
    <r>
      <rPr>
        <sz val="12"/>
        <color rgb="FF0000FF"/>
        <rFont val="Times New Roman"/>
        <family val="1"/>
      </rPr>
      <t xml:space="preserve">            4.</t>
    </r>
    <r>
      <rPr>
        <sz val="12"/>
        <color rgb="FF0000FF"/>
        <rFont val="宋体"/>
        <family val="3"/>
        <charset val="134"/>
      </rPr>
      <t>设定受益计划变动额结转留存收益</t>
    </r>
  </si>
  <si>
    <r>
      <rPr>
        <sz val="12"/>
        <rFont val="Times New Roman"/>
        <family val="1"/>
      </rPr>
      <t xml:space="preserve">            5. </t>
    </r>
    <r>
      <rPr>
        <sz val="12"/>
        <rFont val="宋体"/>
        <family val="3"/>
        <charset val="134"/>
      </rPr>
      <t>其他</t>
    </r>
  </si>
  <si>
    <r>
      <rPr>
        <sz val="12"/>
        <color rgb="FF0000FF"/>
        <rFont val="宋体"/>
        <family val="3"/>
        <charset val="134"/>
      </rPr>
      <t>（五）专项储备</t>
    </r>
  </si>
  <si>
    <r>
      <rPr>
        <sz val="12"/>
        <color rgb="FF0000FF"/>
        <rFont val="Times New Roman"/>
        <family val="1"/>
      </rPr>
      <t xml:space="preserve">            1. </t>
    </r>
    <r>
      <rPr>
        <sz val="12"/>
        <color rgb="FF0000FF"/>
        <rFont val="宋体"/>
        <family val="3"/>
        <charset val="134"/>
      </rPr>
      <t>本期提取</t>
    </r>
  </si>
  <si>
    <r>
      <rPr>
        <sz val="12"/>
        <color rgb="FF0000FF"/>
        <rFont val="Times New Roman"/>
        <family val="1"/>
      </rPr>
      <t xml:space="preserve">            2. </t>
    </r>
    <r>
      <rPr>
        <sz val="12"/>
        <color rgb="FF0000FF"/>
        <rFont val="宋体"/>
        <family val="3"/>
        <charset val="134"/>
      </rPr>
      <t>本期使用</t>
    </r>
  </si>
  <si>
    <r>
      <rPr>
        <sz val="12"/>
        <color rgb="FF0000FF"/>
        <rFont val="宋体"/>
        <family val="3"/>
        <charset val="134"/>
      </rPr>
      <t>（六）其他</t>
    </r>
  </si>
  <si>
    <r>
      <rPr>
        <sz val="12"/>
        <rFont val="宋体"/>
        <family val="3"/>
        <charset val="134"/>
      </rPr>
      <t>四、本年年末余额</t>
    </r>
  </si>
  <si>
    <r>
      <rPr>
        <sz val="12"/>
        <rFont val="宋体"/>
        <family val="3"/>
        <charset val="134"/>
      </rPr>
      <t>法定代表人</t>
    </r>
    <r>
      <rPr>
        <sz val="12"/>
        <rFont val="Times New Roman"/>
        <family val="1"/>
      </rPr>
      <t xml:space="preserve">:                                                                                                           </t>
    </r>
    <r>
      <rPr>
        <sz val="12"/>
        <rFont val="宋体"/>
        <family val="3"/>
        <charset val="134"/>
      </rPr>
      <t>主管会计工作负责人：</t>
    </r>
    <r>
      <rPr>
        <sz val="12"/>
        <rFont val="Times New Roman"/>
        <family val="1"/>
      </rPr>
      <t xml:space="preserve">                                                                                                        </t>
    </r>
    <r>
      <rPr>
        <sz val="12"/>
        <rFont val="宋体"/>
        <family val="3"/>
        <charset val="134"/>
      </rPr>
      <t>会计机构负责人：</t>
    </r>
  </si>
  <si>
    <r>
      <rPr>
        <b/>
        <sz val="12"/>
        <color indexed="10"/>
        <rFont val="宋体"/>
        <family val="3"/>
        <charset val="134"/>
      </rPr>
      <t>本表中，除</t>
    </r>
    <r>
      <rPr>
        <b/>
        <sz val="12"/>
        <color indexed="10"/>
        <rFont val="Times New Roman"/>
        <family val="1"/>
      </rPr>
      <t>“</t>
    </r>
    <r>
      <rPr>
        <b/>
        <sz val="12"/>
        <color indexed="10"/>
        <rFont val="宋体"/>
        <family val="3"/>
        <charset val="134"/>
      </rPr>
      <t>减：库存股</t>
    </r>
    <r>
      <rPr>
        <b/>
        <sz val="12"/>
        <color indexed="10"/>
        <rFont val="Times New Roman"/>
        <family val="1"/>
      </rPr>
      <t>”</t>
    </r>
    <r>
      <rPr>
        <b/>
        <sz val="12"/>
        <color indexed="10"/>
        <rFont val="宋体"/>
        <family val="3"/>
        <charset val="134"/>
      </rPr>
      <t>外，贷方余额或贷方发生额以正数表示，借方余额或借方发生额以负数表示；</t>
    </r>
    <r>
      <rPr>
        <b/>
        <sz val="12"/>
        <color indexed="10"/>
        <rFont val="Times New Roman"/>
        <family val="1"/>
      </rPr>
      <t>“</t>
    </r>
    <r>
      <rPr>
        <b/>
        <sz val="12"/>
        <color indexed="10"/>
        <rFont val="宋体"/>
        <family val="3"/>
        <charset val="134"/>
      </rPr>
      <t>减：库存股</t>
    </r>
    <r>
      <rPr>
        <b/>
        <sz val="12"/>
        <color indexed="10"/>
        <rFont val="Times New Roman"/>
        <family val="1"/>
      </rPr>
      <t>”</t>
    </r>
    <r>
      <rPr>
        <b/>
        <sz val="12"/>
        <color indexed="10"/>
        <rFont val="宋体"/>
        <family val="3"/>
        <charset val="134"/>
      </rPr>
      <t>科目，借方余额或借方发生额以正数表示，贷方余额或贷方发生额以负数表示。</t>
    </r>
  </si>
  <si>
    <t>注：被审计单位不存在使用蓝色部分科目的，应当删除</t>
  </si>
  <si>
    <t>2016年累计数</t>
    <phoneticPr fontId="53" type="noConversion"/>
  </si>
  <si>
    <t>2017年累计数</t>
    <phoneticPr fontId="53" type="noConversion"/>
  </si>
  <si>
    <t>2018年累计数</t>
    <phoneticPr fontId="53" type="noConversion"/>
  </si>
  <si>
    <t>2019年累计数</t>
    <phoneticPr fontId="53" type="noConversion"/>
  </si>
  <si>
    <t>2020年累计数</t>
    <phoneticPr fontId="53" type="noConversion"/>
  </si>
  <si>
    <t>2021年累计数</t>
    <phoneticPr fontId="53" type="noConversion"/>
  </si>
  <si>
    <t>2022年累计数</t>
    <phoneticPr fontId="53" type="noConversion"/>
  </si>
  <si>
    <t>2023年累计数</t>
    <phoneticPr fontId="53" type="noConversion"/>
  </si>
  <si>
    <t>2024年累计数</t>
    <phoneticPr fontId="53" type="noConversion"/>
  </si>
  <si>
    <t>2025年1-3月累计数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</si>
</sst>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\&quot;* #,##0.00_ ;_ &quot;\&quot;* &quot;\&quot;&quot;\&quot;&quot;\&quot;&quot;\&quot;&quot;\&quot;&quot;\&quot;&quot;\&quot;&quot;\&quot;&quot;\&quot;&quot;\&quot;\-#,##0.00_ ;_ &quot;\&quot;* &quot;-&quot;??_ ;_ @_ "/>
    <numFmt numFmtId="178" formatCode="0.000000"/>
    <numFmt numFmtId="179" formatCode="_ &quot;\&quot;* #,##0.00_ ;_ &quot;\&quot;* &quot;\&quot;&quot;\&quot;&quot;\&quot;&quot;\&quot;&quot;\&quot;&quot;\&quot;\-#,##0.00_ ;_ &quot;\&quot;* &quot;-&quot;??_ ;_ @_ "/>
    <numFmt numFmtId="180" formatCode="_ * #,##0.00_ ;_ * &quot;\&quot;&quot;\&quot;&quot;\&quot;&quot;\&quot;&quot;\&quot;&quot;\&quot;\-#,##0.00_ ;_ * &quot;-&quot;??_ ;_ @_ "/>
    <numFmt numFmtId="181" formatCode="_-\¥* #,##0.00_-;\-\¥* #,##0.00_-;_-\¥* &quot;-&quot;??_-;_-@_-"/>
    <numFmt numFmtId="182" formatCode="0.0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0.0%"/>
    <numFmt numFmtId="186" formatCode="_(&quot;$&quot;* #,##0_);_(&quot;$&quot;* \(#,##0\);_(&quot;$&quot;* &quot;-&quot;??_);_(@_)"/>
    <numFmt numFmtId="187" formatCode="mmm\ dd\,\ yy"/>
    <numFmt numFmtId="188" formatCode="_(&quot;$&quot;* #,##0.0_);_(&quot;$&quot;* \(#,##0.0\);_(&quot;$&quot;* &quot;-&quot;??_);_(@_)"/>
    <numFmt numFmtId="189" formatCode="mm/dd/yy_)"/>
    <numFmt numFmtId="190" formatCode="_-* #,##0.00_-;\-* #,##0.00_-;_-* &quot;-&quot;??_-;_-@_-"/>
    <numFmt numFmtId="191" formatCode="#,##0.00_ "/>
    <numFmt numFmtId="192" formatCode="_(* #,##0.00_);_(* \(#,##0.00\);_(* &quot;-&quot;??_);_(@_)"/>
    <numFmt numFmtId="193" formatCode="yyyy&quot;年&quot;m&quot;月&quot;d&quot;日&quot;;@"/>
    <numFmt numFmtId="194" formatCode="_-\$* #,##0.00_ ;_-\$* \-#,##0.00\ ;_-\$* &quot;-&quot;??_ ;_-@_ "/>
  </numFmts>
  <fonts count="55">
    <font>
      <sz val="12"/>
      <name val="宋体"/>
      <charset val="134"/>
    </font>
    <font>
      <sz val="22"/>
      <name val="Times New Roman"/>
      <family val="1"/>
    </font>
    <font>
      <sz val="12"/>
      <name val="Times New Roman"/>
      <family val="1"/>
    </font>
    <font>
      <b/>
      <sz val="22"/>
      <name val="Times New Roman"/>
      <family val="1"/>
    </font>
    <font>
      <sz val="12"/>
      <color rgb="FF0000FF"/>
      <name val="Times New Roman"/>
      <family val="1"/>
    </font>
    <font>
      <sz val="12"/>
      <color theme="1"/>
      <name val="Times New Roman"/>
      <family val="1"/>
    </font>
    <font>
      <b/>
      <sz val="22"/>
      <name val="黑体"/>
      <family val="3"/>
      <charset val="134"/>
    </font>
    <font>
      <sz val="22"/>
      <color rgb="FFFF0000"/>
      <name val="Times New Roman"/>
      <family val="1"/>
    </font>
    <font>
      <u/>
      <sz val="12"/>
      <name val="Times New Roman"/>
      <family val="1"/>
    </font>
    <font>
      <b/>
      <sz val="12"/>
      <color rgb="FFFF0000"/>
      <name val="Times New Roman"/>
      <family val="1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1"/>
      <name val="宋体"/>
      <family val="3"/>
      <charset val="134"/>
    </font>
    <font>
      <b/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2"/>
      <name val="SimSun"/>
      <charset val="134"/>
    </font>
    <font>
      <sz val="12"/>
      <name val="宋体-简"/>
      <charset val="134"/>
    </font>
    <font>
      <sz val="12"/>
      <color rgb="FFFF0000"/>
      <name val="Times New Roman"/>
      <family val="1"/>
    </font>
    <font>
      <b/>
      <sz val="11"/>
      <name val="黑体"/>
      <family val="3"/>
      <charset val="134"/>
    </font>
    <font>
      <b/>
      <sz val="12"/>
      <color rgb="FF000000"/>
      <name val="黑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name val="Helv"/>
      <family val="2"/>
    </font>
    <font>
      <sz val="10"/>
      <name val="Geneva"/>
      <family val="1"/>
    </font>
    <font>
      <b/>
      <sz val="9"/>
      <color rgb="FF000000"/>
      <name val="新宋体"/>
      <family val="3"/>
      <charset val="134"/>
    </font>
    <font>
      <sz val="8"/>
      <name val="Times New Roman"/>
      <family val="1"/>
    </font>
    <font>
      <sz val="10"/>
      <name val="MS Sans Serif"/>
      <family val="1"/>
    </font>
    <font>
      <b/>
      <sz val="8"/>
      <name val="Arial"/>
      <family val="2"/>
    </font>
    <font>
      <sz val="10"/>
      <name val="Arial"/>
      <family val="2"/>
    </font>
    <font>
      <sz val="20"/>
      <name val="Letter Gothic (W1)"/>
      <family val="1"/>
    </font>
    <font>
      <sz val="8"/>
      <name val="Arial"/>
      <family val="2"/>
    </font>
    <font>
      <b/>
      <sz val="12"/>
      <name val="Arial"/>
      <family val="2"/>
    </font>
    <font>
      <sz val="7"/>
      <name val="Small Fonts"/>
      <family val="2"/>
    </font>
    <font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sz val="11"/>
      <color indexed="20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0"/>
      <name val="MS Sans Serif"/>
      <family val="2"/>
    </font>
    <font>
      <sz val="11"/>
      <color indexed="17"/>
      <name val="宋体"/>
      <family val="3"/>
      <charset val="134"/>
    </font>
    <font>
      <u/>
      <sz val="12"/>
      <color indexed="20"/>
      <name val="宋体"/>
      <family val="3"/>
      <charset val="134"/>
    </font>
    <font>
      <sz val="11"/>
      <name val="蹈框"/>
      <charset val="134"/>
    </font>
    <font>
      <sz val="11"/>
      <name val="ＭＳ Ｐゴシック"/>
      <charset val="128"/>
    </font>
    <font>
      <sz val="12"/>
      <name val="바탕체"/>
      <charset val="129"/>
    </font>
    <font>
      <sz val="12"/>
      <color rgb="FF0000FF"/>
      <name val="宋体"/>
      <family val="3"/>
      <charset val="134"/>
    </font>
    <font>
      <sz val="12"/>
      <color theme="1"/>
      <name val="宋体"/>
      <family val="3"/>
      <charset val="134"/>
    </font>
    <font>
      <sz val="22"/>
      <color rgb="FFFF0000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color indexed="10"/>
      <name val="Times New Roman"/>
      <family val="1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3">
    <xf numFmtId="0" fontId="0" fillId="0" borderId="0"/>
    <xf numFmtId="43" fontId="25" fillId="0" borderId="0" applyFont="0" applyFill="0" applyBorder="0" applyAlignment="0" applyProtection="0">
      <alignment vertical="center"/>
    </xf>
    <xf numFmtId="0" fontId="2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40" fontId="28" fillId="6" borderId="4" applyProtection="0">
      <alignment horizontal="right"/>
    </xf>
    <xf numFmtId="0" fontId="29" fillId="0" borderId="0">
      <alignment horizontal="center" wrapText="1"/>
      <protection locked="0"/>
    </xf>
    <xf numFmtId="177" fontId="25" fillId="0" borderId="0" applyFill="0" applyBorder="0" applyAlignment="0"/>
    <xf numFmtId="178" fontId="30" fillId="0" borderId="0" applyFill="0" applyBorder="0" applyAlignment="0"/>
    <xf numFmtId="179" fontId="25" fillId="0" borderId="0" applyFill="0" applyBorder="0" applyAlignment="0"/>
    <xf numFmtId="180" fontId="25" fillId="0" borderId="0" applyFill="0" applyBorder="0" applyAlignment="0"/>
    <xf numFmtId="181" fontId="25" fillId="0" borderId="0" applyFill="0" applyBorder="0" applyAlignment="0"/>
    <xf numFmtId="177" fontId="25" fillId="0" borderId="0" applyFill="0" applyBorder="0" applyAlignment="0"/>
    <xf numFmtId="182" fontId="30" fillId="0" borderId="0" applyFill="0" applyBorder="0" applyAlignment="0"/>
    <xf numFmtId="178" fontId="30" fillId="0" borderId="0" applyFill="0" applyBorder="0" applyAlignment="0"/>
    <xf numFmtId="0" fontId="31" fillId="0" borderId="11">
      <alignment horizontal="center"/>
    </xf>
    <xf numFmtId="41" fontId="32" fillId="0" borderId="0" applyFont="0" applyFill="0" applyBorder="0" applyAlignment="0" applyProtection="0"/>
    <xf numFmtId="177" fontId="25" fillId="0" borderId="0" applyFont="0" applyFill="0" applyBorder="0" applyAlignment="0" applyProtection="0"/>
    <xf numFmtId="43" fontId="32" fillId="0" borderId="0" applyFont="0" applyFill="0" applyBorder="0" applyAlignment="0" applyProtection="0"/>
    <xf numFmtId="183" fontId="33" fillId="0" borderId="0" applyFont="0" applyFill="0" applyBorder="0" applyAlignment="0" applyProtection="0"/>
    <xf numFmtId="184" fontId="33" fillId="0" borderId="0" applyFont="0" applyFill="0" applyBorder="0" applyAlignment="0" applyProtection="0"/>
    <xf numFmtId="38" fontId="34" fillId="7" borderId="0" applyNumberFormat="0" applyBorder="0" applyAlignment="0" applyProtection="0"/>
    <xf numFmtId="0" fontId="35" fillId="0" borderId="18" applyNumberFormat="0" applyAlignment="0" applyProtection="0">
      <alignment horizontal="left" vertical="center"/>
    </xf>
    <xf numFmtId="0" fontId="35" fillId="0" borderId="19">
      <alignment horizontal="left" vertical="center"/>
    </xf>
    <xf numFmtId="10" fontId="34" fillId="5" borderId="4" applyNumberFormat="0" applyBorder="0" applyAlignment="0" applyProtection="0"/>
    <xf numFmtId="37" fontId="36" fillId="0" borderId="0"/>
    <xf numFmtId="185" fontId="25" fillId="0" borderId="0"/>
    <xf numFmtId="0" fontId="37" fillId="0" borderId="0"/>
    <xf numFmtId="10" fontId="32" fillId="0" borderId="0" applyFont="0" applyFill="0" applyBorder="0" applyAlignment="0" applyProtection="0"/>
    <xf numFmtId="0" fontId="38" fillId="0" borderId="4">
      <alignment horizontal="center"/>
    </xf>
    <xf numFmtId="0" fontId="38" fillId="0" borderId="0">
      <alignment horizontal="center" vertical="center"/>
    </xf>
    <xf numFmtId="0" fontId="39" fillId="0" borderId="0" applyNumberFormat="0" applyFill="0">
      <alignment horizontal="left"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0" fontId="40" fillId="8" borderId="0" applyNumberFormat="0" applyBorder="0" applyAlignment="0" applyProtection="0">
      <alignment vertical="center"/>
    </xf>
    <xf numFmtId="0" fontId="25" fillId="0" borderId="0"/>
    <xf numFmtId="0" fontId="5" fillId="0" borderId="0">
      <alignment vertical="center"/>
    </xf>
    <xf numFmtId="0" fontId="11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3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186" fontId="25" fillId="0" borderId="0" applyFont="0" applyFill="0" applyBorder="0" applyAlignment="0" applyProtection="0"/>
    <xf numFmtId="187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7" fillId="0" borderId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190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45" fillId="0" borderId="0"/>
    <xf numFmtId="0" fontId="27" fillId="0" borderId="0"/>
    <xf numFmtId="190" fontId="32" fillId="0" borderId="4" applyNumberFormat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/>
  </cellStyleXfs>
  <cellXfs count="150">
    <xf numFmtId="0" fontId="0" fillId="0" borderId="0" xfId="0"/>
    <xf numFmtId="0" fontId="1" fillId="0" borderId="0" xfId="59" applyFont="1">
      <alignment vertical="center"/>
    </xf>
    <xf numFmtId="191" fontId="2" fillId="0" borderId="0" xfId="59" applyNumberFormat="1" applyFont="1">
      <alignment vertical="center"/>
    </xf>
    <xf numFmtId="0" fontId="2" fillId="0" borderId="0" xfId="59" applyFont="1">
      <alignment vertical="center"/>
    </xf>
    <xf numFmtId="0" fontId="2" fillId="0" borderId="0" xfId="59" applyFont="1" applyAlignment="1"/>
    <xf numFmtId="0" fontId="4" fillId="0" borderId="4" xfId="59" applyFont="1" applyBorder="1" applyAlignment="1">
      <alignment horizontal="center" vertical="center" wrapText="1"/>
    </xf>
    <xf numFmtId="0" fontId="2" fillId="0" borderId="3" xfId="59" applyFont="1" applyBorder="1" applyAlignment="1">
      <alignment horizontal="left" vertical="center"/>
    </xf>
    <xf numFmtId="191" fontId="2" fillId="0" borderId="4" xfId="59" applyNumberFormat="1" applyFont="1" applyBorder="1">
      <alignment vertical="center"/>
    </xf>
    <xf numFmtId="0" fontId="5" fillId="0" borderId="3" xfId="59" applyFont="1" applyBorder="1" applyAlignment="1">
      <alignment horizontal="left" vertical="center"/>
    </xf>
    <xf numFmtId="0" fontId="2" fillId="0" borderId="3" xfId="58" applyFont="1" applyBorder="1">
      <alignment vertical="center"/>
    </xf>
    <xf numFmtId="0" fontId="4" fillId="0" borderId="3" xfId="59" applyFont="1" applyBorder="1" applyAlignment="1">
      <alignment horizontal="left" vertical="center"/>
    </xf>
    <xf numFmtId="0" fontId="4" fillId="2" borderId="3" xfId="59" applyFont="1" applyFill="1" applyBorder="1" applyAlignment="1">
      <alignment horizontal="left" vertical="center" wrapText="1"/>
    </xf>
    <xf numFmtId="0" fontId="2" fillId="0" borderId="5" xfId="59" applyFont="1" applyBorder="1" applyAlignment="1">
      <alignment horizontal="left" vertical="center"/>
    </xf>
    <xf numFmtId="191" fontId="2" fillId="0" borderId="6" xfId="59" applyNumberFormat="1" applyFont="1" applyBorder="1">
      <alignment vertical="center"/>
    </xf>
    <xf numFmtId="0" fontId="2" fillId="0" borderId="0" xfId="49" applyFont="1" applyAlignment="1">
      <alignment horizontal="left" vertical="center"/>
    </xf>
    <xf numFmtId="43" fontId="2" fillId="0" borderId="0" xfId="80" applyFont="1" applyAlignment="1">
      <alignment vertical="center"/>
    </xf>
    <xf numFmtId="43" fontId="2" fillId="0" borderId="0" xfId="59" applyNumberFormat="1" applyFont="1">
      <alignment vertical="center"/>
    </xf>
    <xf numFmtId="0" fontId="7" fillId="0" borderId="0" xfId="59" applyFont="1">
      <alignment vertical="center"/>
    </xf>
    <xf numFmtId="191" fontId="2" fillId="0" borderId="0" xfId="59" applyNumberFormat="1" applyFont="1" applyAlignment="1">
      <alignment horizontal="right" vertical="center"/>
    </xf>
    <xf numFmtId="0" fontId="8" fillId="0" borderId="0" xfId="59" applyFont="1">
      <alignment vertical="center"/>
    </xf>
    <xf numFmtId="0" fontId="2" fillId="0" borderId="0" xfId="49" applyFont="1" applyAlignment="1">
      <alignment horizontal="right" vertical="center"/>
    </xf>
    <xf numFmtId="191" fontId="2" fillId="0" borderId="8" xfId="59" applyNumberFormat="1" applyFont="1" applyBorder="1">
      <alignment vertical="center"/>
    </xf>
    <xf numFmtId="191" fontId="2" fillId="0" borderId="9" xfId="59" applyNumberFormat="1" applyFont="1" applyBorder="1">
      <alignment vertical="center"/>
    </xf>
    <xf numFmtId="191" fontId="2" fillId="0" borderId="0" xfId="49" applyNumberFormat="1" applyFont="1" applyAlignment="1">
      <alignment horizontal="right" vertical="center"/>
    </xf>
    <xf numFmtId="0" fontId="7" fillId="0" borderId="0" xfId="58" applyFo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57" fontId="1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10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192" fontId="11" fillId="0" borderId="4" xfId="0" applyNumberFormat="1" applyFont="1" applyBorder="1" applyAlignment="1">
      <alignment horizontal="left" vertical="center"/>
    </xf>
    <xf numFmtId="43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vertical="center" wrapText="1"/>
    </xf>
    <xf numFmtId="43" fontId="10" fillId="0" borderId="0" xfId="0" applyNumberFormat="1" applyFont="1" applyAlignment="1">
      <alignment vertical="center"/>
    </xf>
    <xf numFmtId="191" fontId="10" fillId="0" borderId="0" xfId="0" applyNumberFormat="1" applyFont="1" applyAlignment="1">
      <alignment vertical="center"/>
    </xf>
    <xf numFmtId="0" fontId="3" fillId="3" borderId="0" xfId="58" applyFont="1" applyFill="1">
      <alignment vertical="center"/>
    </xf>
    <xf numFmtId="0" fontId="14" fillId="3" borderId="0" xfId="58" applyFont="1" applyFill="1">
      <alignment vertical="center"/>
    </xf>
    <xf numFmtId="0" fontId="15" fillId="3" borderId="0" xfId="58" applyFont="1" applyFill="1">
      <alignment vertical="center"/>
    </xf>
    <xf numFmtId="0" fontId="2" fillId="0" borderId="0" xfId="58" applyFont="1">
      <alignment vertical="center"/>
    </xf>
    <xf numFmtId="0" fontId="2" fillId="3" borderId="0" xfId="58" applyFont="1" applyFill="1">
      <alignment vertical="center"/>
    </xf>
    <xf numFmtId="0" fontId="2" fillId="3" borderId="0" xfId="39" applyFont="1" applyFill="1"/>
    <xf numFmtId="0" fontId="2" fillId="3" borderId="0" xfId="39" applyFont="1" applyFill="1" applyAlignment="1">
      <alignment vertical="center"/>
    </xf>
    <xf numFmtId="0" fontId="2" fillId="0" borderId="0" xfId="39" applyFont="1" applyAlignment="1">
      <alignment vertical="center"/>
    </xf>
    <xf numFmtId="0" fontId="2" fillId="3" borderId="0" xfId="39" applyFont="1" applyFill="1" applyAlignment="1">
      <alignment horizontal="center"/>
    </xf>
    <xf numFmtId="0" fontId="3" fillId="3" borderId="0" xfId="58" applyFont="1" applyFill="1" applyAlignment="1">
      <alignment horizontal="center" vertical="center"/>
    </xf>
    <xf numFmtId="0" fontId="14" fillId="3" borderId="0" xfId="58" applyFont="1" applyFill="1" applyAlignment="1">
      <alignment horizontal="right" vertical="center"/>
    </xf>
    <xf numFmtId="0" fontId="14" fillId="3" borderId="0" xfId="58" applyFont="1" applyFill="1" applyAlignment="1">
      <alignment horizontal="center" vertical="center"/>
    </xf>
    <xf numFmtId="0" fontId="14" fillId="0" borderId="0" xfId="58" applyFont="1">
      <alignment vertical="center"/>
    </xf>
    <xf numFmtId="0" fontId="16" fillId="0" borderId="4" xfId="58" applyFont="1" applyBorder="1" applyAlignment="1">
      <alignment horizontal="center" vertical="center"/>
    </xf>
    <xf numFmtId="193" fontId="16" fillId="0" borderId="4" xfId="58" applyNumberFormat="1" applyFont="1" applyBorder="1" applyAlignment="1">
      <alignment horizontal="center" vertical="center"/>
    </xf>
    <xf numFmtId="0" fontId="15" fillId="3" borderId="0" xfId="58" applyFont="1" applyFill="1" applyAlignment="1">
      <alignment horizontal="center" vertical="center"/>
    </xf>
    <xf numFmtId="0" fontId="14" fillId="0" borderId="4" xfId="58" applyFont="1" applyBorder="1" applyAlignment="1">
      <alignment horizontal="left" vertical="center"/>
    </xf>
    <xf numFmtId="192" fontId="14" fillId="0" borderId="4" xfId="58" applyNumberFormat="1" applyFont="1" applyBorder="1" applyAlignment="1">
      <alignment horizontal="right" vertical="center"/>
    </xf>
    <xf numFmtId="43" fontId="14" fillId="0" borderId="4" xfId="58" applyNumberFormat="1" applyFont="1" applyBorder="1" applyAlignment="1">
      <alignment horizontal="right" vertical="center"/>
    </xf>
    <xf numFmtId="0" fontId="2" fillId="0" borderId="0" xfId="58" applyFont="1" applyAlignment="1">
      <alignment horizontal="center" vertical="center"/>
    </xf>
    <xf numFmtId="192" fontId="14" fillId="0" borderId="4" xfId="58" applyNumberFormat="1" applyFont="1" applyBorder="1" applyAlignment="1">
      <alignment horizontal="center" vertical="center"/>
    </xf>
    <xf numFmtId="191" fontId="14" fillId="0" borderId="4" xfId="58" applyNumberFormat="1" applyFont="1" applyBorder="1">
      <alignment vertical="center"/>
    </xf>
    <xf numFmtId="192" fontId="2" fillId="0" borderId="0" xfId="58" applyNumberFormat="1" applyFont="1">
      <alignment vertical="center"/>
    </xf>
    <xf numFmtId="0" fontId="14" fillId="0" borderId="4" xfId="58" applyFont="1" applyBorder="1" applyAlignment="1">
      <alignment horizontal="left" vertical="center" wrapText="1"/>
    </xf>
    <xf numFmtId="0" fontId="14" fillId="0" borderId="4" xfId="58" applyFont="1" applyBorder="1">
      <alignment vertical="center"/>
    </xf>
    <xf numFmtId="39" fontId="14" fillId="3" borderId="0" xfId="58" applyNumberFormat="1" applyFont="1" applyFill="1">
      <alignment vertical="center"/>
    </xf>
    <xf numFmtId="39" fontId="14" fillId="0" borderId="0" xfId="58" applyNumberFormat="1" applyFont="1">
      <alignment vertical="center"/>
    </xf>
    <xf numFmtId="0" fontId="2" fillId="3" borderId="0" xfId="58" applyFont="1" applyFill="1" applyAlignment="1">
      <alignment horizontal="center" vertical="center"/>
    </xf>
    <xf numFmtId="39" fontId="14" fillId="0" borderId="0" xfId="58" applyNumberFormat="1" applyFont="1" applyAlignment="1">
      <alignment horizontal="right" vertical="center"/>
    </xf>
    <xf numFmtId="43" fontId="14" fillId="0" borderId="4" xfId="58" applyNumberFormat="1" applyFont="1" applyBorder="1" applyAlignment="1">
      <alignment horizontal="left" vertical="center"/>
    </xf>
    <xf numFmtId="0" fontId="14" fillId="0" borderId="4" xfId="58" applyFont="1" applyBorder="1" applyAlignment="1">
      <alignment vertical="center" wrapText="1"/>
    </xf>
    <xf numFmtId="39" fontId="14" fillId="0" borderId="4" xfId="58" applyNumberFormat="1" applyFont="1" applyBorder="1">
      <alignment vertical="center"/>
    </xf>
    <xf numFmtId="43" fontId="17" fillId="0" borderId="4" xfId="0" applyNumberFormat="1" applyFont="1" applyBorder="1" applyAlignment="1">
      <alignment horizontal="left" vertical="center" wrapText="1"/>
    </xf>
    <xf numFmtId="192" fontId="17" fillId="0" borderId="4" xfId="0" applyNumberFormat="1" applyFont="1" applyBorder="1" applyAlignment="1">
      <alignment horizontal="center" vertical="center" wrapText="1"/>
    </xf>
    <xf numFmtId="192" fontId="2" fillId="0" borderId="0" xfId="58" applyNumberFormat="1" applyFont="1" applyAlignment="1">
      <alignment horizontal="center" vertical="center"/>
    </xf>
    <xf numFmtId="191" fontId="18" fillId="0" borderId="0" xfId="58" applyNumberFormat="1" applyFont="1" applyAlignment="1">
      <alignment horizontal="center" vertical="center"/>
    </xf>
    <xf numFmtId="0" fontId="2" fillId="2" borderId="4" xfId="58" applyFont="1" applyFill="1" applyBorder="1" applyAlignment="1">
      <alignment horizontal="center" vertical="center"/>
    </xf>
    <xf numFmtId="0" fontId="2" fillId="2" borderId="4" xfId="58" applyFont="1" applyFill="1" applyBorder="1">
      <alignment vertical="center"/>
    </xf>
    <xf numFmtId="192" fontId="2" fillId="2" borderId="4" xfId="58" applyNumberFormat="1" applyFont="1" applyFill="1" applyBorder="1" applyAlignment="1">
      <alignment horizontal="center" vertical="center"/>
    </xf>
    <xf numFmtId="0" fontId="19" fillId="2" borderId="4" xfId="58" applyFont="1" applyFill="1" applyBorder="1">
      <alignment vertical="center"/>
    </xf>
    <xf numFmtId="0" fontId="20" fillId="3" borderId="0" xfId="58" applyFont="1" applyFill="1" applyAlignment="1">
      <alignment horizontal="center" vertical="center"/>
    </xf>
    <xf numFmtId="191" fontId="21" fillId="0" borderId="0" xfId="58" applyNumberFormat="1" applyFont="1" applyAlignment="1">
      <alignment horizontal="center" vertical="center"/>
    </xf>
    <xf numFmtId="39" fontId="2" fillId="3" borderId="0" xfId="58" applyNumberFormat="1" applyFont="1" applyFill="1">
      <alignment vertical="center"/>
    </xf>
    <xf numFmtId="192" fontId="11" fillId="0" borderId="4" xfId="0" applyNumberFormat="1" applyFont="1" applyBorder="1" applyAlignment="1">
      <alignment horizontal="center" vertical="center"/>
    </xf>
    <xf numFmtId="39" fontId="11" fillId="0" borderId="4" xfId="0" applyNumberFormat="1" applyFont="1" applyBorder="1" applyAlignment="1">
      <alignment horizontal="right" vertical="center"/>
    </xf>
    <xf numFmtId="43" fontId="11" fillId="0" borderId="0" xfId="0" applyNumberFormat="1" applyFont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92" fontId="10" fillId="0" borderId="0" xfId="0" applyNumberFormat="1" applyFont="1" applyAlignment="1">
      <alignment vertical="center"/>
    </xf>
    <xf numFmtId="39" fontId="11" fillId="0" borderId="11" xfId="0" applyNumberFormat="1" applyFont="1" applyBorder="1" applyAlignment="1">
      <alignment horizontal="right" vertical="center"/>
    </xf>
    <xf numFmtId="39" fontId="17" fillId="4" borderId="4" xfId="49" applyNumberFormat="1" applyFont="1" applyFill="1" applyBorder="1" applyAlignment="1" applyProtection="1">
      <alignment horizontal="right" vertical="center" wrapText="1"/>
      <protection locked="0"/>
    </xf>
    <xf numFmtId="39" fontId="17" fillId="0" borderId="4" xfId="0" applyNumberFormat="1" applyFont="1" applyBorder="1" applyAlignment="1">
      <alignment horizontal="right" vertical="center"/>
    </xf>
    <xf numFmtId="43" fontId="18" fillId="5" borderId="4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93" fontId="22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92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3" fontId="0" fillId="0" borderId="4" xfId="0" applyNumberForma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4" fontId="0" fillId="0" borderId="15" xfId="0" applyNumberFormat="1" applyBorder="1" applyAlignment="1">
      <alignment horizontal="center"/>
    </xf>
    <xf numFmtId="0" fontId="15" fillId="0" borderId="14" xfId="0" applyFont="1" applyBorder="1" applyAlignment="1">
      <alignment horizontal="center"/>
    </xf>
    <xf numFmtId="4" fontId="15" fillId="0" borderId="15" xfId="0" applyNumberFormat="1" applyFont="1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23" fillId="0" borderId="16" xfId="0" applyFont="1" applyBorder="1" applyAlignment="1">
      <alignment horizontal="center" vertical="center" wrapText="1"/>
    </xf>
    <xf numFmtId="43" fontId="0" fillId="0" borderId="4" xfId="0" applyNumberFormat="1" applyBorder="1" applyAlignment="1">
      <alignment vertical="center"/>
    </xf>
    <xf numFmtId="0" fontId="24" fillId="0" borderId="17" xfId="0" applyFont="1" applyBorder="1" applyAlignment="1">
      <alignment horizontal="left" vertical="center" wrapText="1"/>
    </xf>
    <xf numFmtId="43" fontId="24" fillId="0" borderId="17" xfId="0" applyNumberFormat="1" applyFont="1" applyBorder="1" applyAlignment="1">
      <alignment horizontal="center" vertical="center" wrapText="1"/>
    </xf>
    <xf numFmtId="43" fontId="0" fillId="0" borderId="0" xfId="0" applyNumberFormat="1" applyAlignment="1">
      <alignment vertical="center"/>
    </xf>
    <xf numFmtId="19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49" quotePrefix="1" applyFont="1" applyAlignment="1">
      <alignment horizontal="left" vertical="center"/>
    </xf>
    <xf numFmtId="39" fontId="11" fillId="0" borderId="0" xfId="0" applyNumberFormat="1" applyFont="1" applyAlignment="1">
      <alignment horizontal="right" vertical="center"/>
    </xf>
    <xf numFmtId="4" fontId="17" fillId="4" borderId="4" xfId="49" applyNumberFormat="1" applyFont="1" applyFill="1" applyBorder="1" applyAlignment="1" applyProtection="1">
      <alignment horizontal="right" vertical="center" wrapText="1"/>
      <protection locked="0"/>
    </xf>
    <xf numFmtId="4" fontId="17" fillId="0" borderId="4" xfId="0" applyNumberFormat="1" applyFont="1" applyBorder="1" applyAlignment="1">
      <alignment horizontal="right" vertical="center"/>
    </xf>
    <xf numFmtId="4" fontId="14" fillId="0" borderId="4" xfId="58" applyNumberFormat="1" applyFont="1" applyBorder="1">
      <alignment vertical="center"/>
    </xf>
    <xf numFmtId="0" fontId="54" fillId="0" borderId="4" xfId="0" applyFont="1" applyBorder="1" applyAlignment="1">
      <alignment horizontal="justify" vertical="center" wrapText="1"/>
    </xf>
    <xf numFmtId="0" fontId="54" fillId="0" borderId="4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0" xfId="58" applyFont="1" applyFill="1" applyAlignment="1">
      <alignment horizontal="center" vertical="center"/>
    </xf>
    <xf numFmtId="0" fontId="14" fillId="3" borderId="0" xfId="39" quotePrefix="1" applyFont="1" applyFill="1" applyAlignment="1">
      <alignment horizontal="left" vertical="center"/>
    </xf>
    <xf numFmtId="0" fontId="14" fillId="3" borderId="0" xfId="39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4" fillId="0" borderId="4" xfId="59" applyFont="1" applyBorder="1" applyAlignment="1">
      <alignment horizontal="center" vertical="center" wrapText="1"/>
    </xf>
    <xf numFmtId="0" fontId="5" fillId="0" borderId="4" xfId="59" applyFont="1" applyBorder="1" applyAlignment="1">
      <alignment horizontal="center" vertical="center" wrapText="1"/>
    </xf>
    <xf numFmtId="0" fontId="2" fillId="0" borderId="4" xfId="59" applyFont="1" applyBorder="1" applyAlignment="1">
      <alignment horizontal="center" vertical="center" wrapText="1"/>
    </xf>
    <xf numFmtId="0" fontId="2" fillId="0" borderId="8" xfId="59" applyFont="1" applyBorder="1" applyAlignment="1">
      <alignment horizontal="center" vertical="center" wrapText="1"/>
    </xf>
    <xf numFmtId="31" fontId="4" fillId="0" borderId="4" xfId="59" applyNumberFormat="1" applyFont="1" applyBorder="1" applyAlignment="1">
      <alignment horizontal="center" vertical="center"/>
    </xf>
    <xf numFmtId="0" fontId="9" fillId="0" borderId="0" xfId="59" applyFont="1" applyAlignment="1">
      <alignment vertical="center" wrapText="1"/>
    </xf>
    <xf numFmtId="0" fontId="2" fillId="0" borderId="1" xfId="59" applyFont="1" applyBorder="1" applyAlignment="1">
      <alignment horizontal="center" vertical="center"/>
    </xf>
    <xf numFmtId="0" fontId="2" fillId="0" borderId="3" xfId="59" applyFont="1" applyBorder="1" applyAlignment="1">
      <alignment horizontal="center" vertical="center"/>
    </xf>
    <xf numFmtId="0" fontId="0" fillId="0" borderId="4" xfId="59" applyFont="1" applyBorder="1" applyAlignment="1">
      <alignment horizontal="center" vertical="center" wrapText="1"/>
    </xf>
    <xf numFmtId="0" fontId="3" fillId="0" borderId="0" xfId="59" applyFont="1" applyAlignment="1">
      <alignment horizontal="center" vertical="center"/>
    </xf>
    <xf numFmtId="31" fontId="2" fillId="0" borderId="2" xfId="59" applyNumberFormat="1" applyFont="1" applyBorder="1" applyAlignment="1">
      <alignment horizontal="center" vertical="center"/>
    </xf>
    <xf numFmtId="31" fontId="2" fillId="0" borderId="7" xfId="59" applyNumberFormat="1" applyFont="1" applyBorder="1" applyAlignment="1">
      <alignment horizontal="center" vertical="center"/>
    </xf>
    <xf numFmtId="0" fontId="6" fillId="0" borderId="0" xfId="59" applyFont="1" applyAlignment="1">
      <alignment horizontal="center" vertical="center"/>
    </xf>
  </cellXfs>
  <cellStyles count="103">
    <cellStyle name="_05祥龙本部底稿-曾莉" xfId="2" xr:uid="{00000000-0005-0000-0000-000031000000}"/>
    <cellStyle name="_本部现金流量表" xfId="3" xr:uid="{00000000-0005-0000-0000-000032000000}"/>
    <cellStyle name="_函证控制表-客户" xfId="4" xr:uid="{00000000-0005-0000-0000-000033000000}"/>
    <cellStyle name="_马应龙191" xfId="5" xr:uid="{00000000-0005-0000-0000-000034000000}"/>
    <cellStyle name="_炭黑底稿" xfId="6" xr:uid="{00000000-0005-0000-0000-000035000000}"/>
    <cellStyle name="_祥龙本部" xfId="7" xr:uid="{00000000-0005-0000-0000-000036000000}"/>
    <cellStyle name="0,0_x000d__x000a_NA_x000d__x000a_" xfId="8" xr:uid="{00000000-0005-0000-0000-000037000000}"/>
    <cellStyle name="amountDrS" xfId="9" xr:uid="{00000000-0005-0000-0000-000038000000}"/>
    <cellStyle name="args.style" xfId="10" xr:uid="{00000000-0005-0000-0000-000039000000}"/>
    <cellStyle name="Calc Currency (0)" xfId="11" xr:uid="{00000000-0005-0000-0000-00003A000000}"/>
    <cellStyle name="Calc Currency (2)" xfId="12" xr:uid="{00000000-0005-0000-0000-00003B000000}"/>
    <cellStyle name="Calc Percent (0)" xfId="13" xr:uid="{00000000-0005-0000-0000-00003C000000}"/>
    <cellStyle name="Calc Percent (1)" xfId="14" xr:uid="{00000000-0005-0000-0000-00003D000000}"/>
    <cellStyle name="Calc Percent (2)" xfId="15" xr:uid="{00000000-0005-0000-0000-00003E000000}"/>
    <cellStyle name="Calc Units (0)" xfId="16" xr:uid="{00000000-0005-0000-0000-00003F000000}"/>
    <cellStyle name="Calc Units (1)" xfId="17" xr:uid="{00000000-0005-0000-0000-000040000000}"/>
    <cellStyle name="Calc Units (2)" xfId="18" xr:uid="{00000000-0005-0000-0000-000041000000}"/>
    <cellStyle name="Column_Title" xfId="19" xr:uid="{00000000-0005-0000-0000-000042000000}"/>
    <cellStyle name="Comma [0]_!!!GO" xfId="20" xr:uid="{00000000-0005-0000-0000-000043000000}"/>
    <cellStyle name="Comma [00]" xfId="21" xr:uid="{00000000-0005-0000-0000-000044000000}"/>
    <cellStyle name="Comma_!!!GO" xfId="22" xr:uid="{00000000-0005-0000-0000-000045000000}"/>
    <cellStyle name="Currency [0]_353HHC" xfId="23" xr:uid="{00000000-0005-0000-0000-000046000000}"/>
    <cellStyle name="Currency_353HHC" xfId="24" xr:uid="{00000000-0005-0000-0000-000047000000}"/>
    <cellStyle name="Grey" xfId="25" xr:uid="{00000000-0005-0000-0000-000048000000}"/>
    <cellStyle name="Header1" xfId="26" xr:uid="{00000000-0005-0000-0000-000049000000}"/>
    <cellStyle name="Header2" xfId="27" xr:uid="{00000000-0005-0000-0000-00004A000000}"/>
    <cellStyle name="Input [yellow]" xfId="28" xr:uid="{00000000-0005-0000-0000-00004B000000}"/>
    <cellStyle name="no dec" xfId="29" xr:uid="{00000000-0005-0000-0000-00004C000000}"/>
    <cellStyle name="Normal - Style1" xfId="30" xr:uid="{00000000-0005-0000-0000-00004D000000}"/>
    <cellStyle name="Normal_0105第二套审计报表定稿" xfId="31" xr:uid="{00000000-0005-0000-0000-00004E000000}"/>
    <cellStyle name="Percent [2]" xfId="32" xr:uid="{00000000-0005-0000-0000-00004F000000}"/>
    <cellStyle name="style" xfId="33" xr:uid="{00000000-0005-0000-0000-000050000000}"/>
    <cellStyle name="style1" xfId="34" xr:uid="{00000000-0005-0000-0000-000051000000}"/>
    <cellStyle name="style2" xfId="35" xr:uid="{00000000-0005-0000-0000-000052000000}"/>
    <cellStyle name="百分比 2" xfId="36" xr:uid="{00000000-0005-0000-0000-000053000000}"/>
    <cellStyle name="百分比 2 2" xfId="37" xr:uid="{00000000-0005-0000-0000-000054000000}"/>
    <cellStyle name="差_其他应收、应付款07-06（移入光电）" xfId="38" xr:uid="{00000000-0005-0000-0000-000055000000}"/>
    <cellStyle name="常规" xfId="0" builtinId="0"/>
    <cellStyle name="常规 10" xfId="39" xr:uid="{00000000-0005-0000-0000-000056000000}"/>
    <cellStyle name="常规 11" xfId="40" xr:uid="{00000000-0005-0000-0000-000057000000}"/>
    <cellStyle name="常规 12" xfId="41" xr:uid="{00000000-0005-0000-0000-000058000000}"/>
    <cellStyle name="常规 2" xfId="42" xr:uid="{00000000-0005-0000-0000-000059000000}"/>
    <cellStyle name="常规 2 2" xfId="43" xr:uid="{00000000-0005-0000-0000-00005A000000}"/>
    <cellStyle name="常规 2 2 2" xfId="44" xr:uid="{00000000-0005-0000-0000-00005B000000}"/>
    <cellStyle name="常规 2 2_杰之行合并试算平衡表" xfId="45" xr:uid="{00000000-0005-0000-0000-00005C000000}"/>
    <cellStyle name="常规 2 3" xfId="46" xr:uid="{00000000-0005-0000-0000-00005D000000}"/>
    <cellStyle name="常规 2 4" xfId="47" xr:uid="{00000000-0005-0000-0000-00005E000000}"/>
    <cellStyle name="常规 2_杰之行合并试算平衡表" xfId="48" xr:uid="{00000000-0005-0000-0000-00005F000000}"/>
    <cellStyle name="常规 3" xfId="49" xr:uid="{00000000-0005-0000-0000-000060000000}"/>
    <cellStyle name="常规 3 2" xfId="50" xr:uid="{00000000-0005-0000-0000-000061000000}"/>
    <cellStyle name="常规 3_杰之行合并试算平衡表" xfId="51" xr:uid="{00000000-0005-0000-0000-000062000000}"/>
    <cellStyle name="常规 4" xfId="52" xr:uid="{00000000-0005-0000-0000-000063000000}"/>
    <cellStyle name="常规 5" xfId="53" xr:uid="{00000000-0005-0000-0000-000064000000}"/>
    <cellStyle name="常规 6" xfId="54" xr:uid="{00000000-0005-0000-0000-000065000000}"/>
    <cellStyle name="常规 7" xfId="55" xr:uid="{00000000-0005-0000-0000-000066000000}"/>
    <cellStyle name="常规 8" xfId="56" xr:uid="{00000000-0005-0000-0000-000067000000}"/>
    <cellStyle name="常规 9" xfId="57" xr:uid="{00000000-0005-0000-0000-000068000000}"/>
    <cellStyle name="常规_合并报表" xfId="58" xr:uid="{00000000-0005-0000-0000-000069000000}"/>
    <cellStyle name="常规_合并报表 2" xfId="59" xr:uid="{00000000-0005-0000-0000-00006A000000}"/>
    <cellStyle name="超级链接_房地产收入、存货、成本底稿" xfId="60" xr:uid="{00000000-0005-0000-0000-00006B000000}"/>
    <cellStyle name="超链接 2" xfId="61" xr:uid="{00000000-0005-0000-0000-00006C000000}"/>
    <cellStyle name="超链接 2 2" xfId="62" xr:uid="{00000000-0005-0000-0000-00006D000000}"/>
    <cellStyle name="超链接 2 3" xfId="63" xr:uid="{00000000-0005-0000-0000-00006E000000}"/>
    <cellStyle name="超链接 2 4" xfId="64" xr:uid="{00000000-0005-0000-0000-00006F000000}"/>
    <cellStyle name="超链接 2_杰之行合并试算平衡表" xfId="65" xr:uid="{00000000-0005-0000-0000-000070000000}"/>
    <cellStyle name="超链接 3" xfId="66" xr:uid="{00000000-0005-0000-0000-000071000000}"/>
    <cellStyle name="分级显示行_1_4附件二凯旋评估表" xfId="67" xr:uid="{00000000-0005-0000-0000-000072000000}"/>
    <cellStyle name="好_其他应收、应付款07-06（移入光电）" xfId="68" xr:uid="{00000000-0005-0000-0000-000073000000}"/>
    <cellStyle name="后继超级链接_05.8.31" xfId="69" xr:uid="{00000000-0005-0000-0000-000074000000}"/>
    <cellStyle name="霓付 [0]_97MBO" xfId="70" xr:uid="{00000000-0005-0000-0000-000075000000}"/>
    <cellStyle name="霓付_97MBO" xfId="71" xr:uid="{00000000-0005-0000-0000-000076000000}"/>
    <cellStyle name="烹拳 [0]_97MBO" xfId="72" xr:uid="{00000000-0005-0000-0000-000077000000}"/>
    <cellStyle name="烹拳_97MBO" xfId="73" xr:uid="{00000000-0005-0000-0000-000078000000}"/>
    <cellStyle name="普通_ 白土" xfId="74" xr:uid="{00000000-0005-0000-0000-000079000000}"/>
    <cellStyle name="千分位[0]_ 白土" xfId="75" xr:uid="{00000000-0005-0000-0000-00007A000000}"/>
    <cellStyle name="千分位_ 白土" xfId="76" xr:uid="{00000000-0005-0000-0000-00007B000000}"/>
    <cellStyle name="千位[0]_ 预 付 帐 款" xfId="77" xr:uid="{00000000-0005-0000-0000-00007C000000}"/>
    <cellStyle name="千位_ 预 付 帐 款" xfId="78" xr:uid="{00000000-0005-0000-0000-00007D000000}"/>
    <cellStyle name="千位分隔" xfId="1" builtinId="3"/>
    <cellStyle name="千位分隔 10" xfId="79" xr:uid="{00000000-0005-0000-0000-00007E000000}"/>
    <cellStyle name="千位分隔 2" xfId="80" xr:uid="{00000000-0005-0000-0000-00007F000000}"/>
    <cellStyle name="千位分隔 2 2" xfId="81" xr:uid="{00000000-0005-0000-0000-000080000000}"/>
    <cellStyle name="千位分隔 2 2 2" xfId="82" xr:uid="{00000000-0005-0000-0000-000081000000}"/>
    <cellStyle name="千位分隔 2 3" xfId="83" xr:uid="{00000000-0005-0000-0000-000082000000}"/>
    <cellStyle name="千位分隔 2 4" xfId="84" xr:uid="{00000000-0005-0000-0000-000083000000}"/>
    <cellStyle name="千位分隔 2 5" xfId="85" xr:uid="{00000000-0005-0000-0000-000084000000}"/>
    <cellStyle name="千位分隔 3" xfId="86" xr:uid="{00000000-0005-0000-0000-000085000000}"/>
    <cellStyle name="千位分隔 3 2" xfId="87" xr:uid="{00000000-0005-0000-0000-000086000000}"/>
    <cellStyle name="千位分隔 4" xfId="88" xr:uid="{00000000-0005-0000-0000-000087000000}"/>
    <cellStyle name="千位分隔 5" xfId="89" xr:uid="{00000000-0005-0000-0000-000088000000}"/>
    <cellStyle name="千位分隔 6" xfId="90" xr:uid="{00000000-0005-0000-0000-000089000000}"/>
    <cellStyle name="千位分隔 7" xfId="91" xr:uid="{00000000-0005-0000-0000-00008A000000}"/>
    <cellStyle name="千位分隔 8" xfId="92" xr:uid="{00000000-0005-0000-0000-00008B000000}"/>
    <cellStyle name="千位分隔 9" xfId="93" xr:uid="{00000000-0005-0000-0000-00008C000000}"/>
    <cellStyle name="千位分隔[0] 2" xfId="94" xr:uid="{00000000-0005-0000-0000-00008D000000}"/>
    <cellStyle name="钎霖_laroux" xfId="95" xr:uid="{00000000-0005-0000-0000-00008E000000}"/>
    <cellStyle name="样式 1" xfId="96" xr:uid="{00000000-0005-0000-0000-00008F000000}"/>
    <cellStyle name="资产" xfId="97" xr:uid="{00000000-0005-0000-0000-000090000000}"/>
    <cellStyle name="콤마 [0]_BOILER-CO1" xfId="98" xr:uid="{00000000-0005-0000-0000-000091000000}"/>
    <cellStyle name="콤마_BOILER-CO1" xfId="99" xr:uid="{00000000-0005-0000-0000-000092000000}"/>
    <cellStyle name="통화 [0]_BOILER-CO1" xfId="100" xr:uid="{00000000-0005-0000-0000-000093000000}"/>
    <cellStyle name="통화_BOILER-CO1" xfId="101" xr:uid="{00000000-0005-0000-0000-000094000000}"/>
    <cellStyle name="표준_0N-HANDLING " xfId="102" xr:uid="{00000000-0005-0000-0000-00009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7"/>
  <sheetViews>
    <sheetView topLeftCell="A11" zoomScale="72" zoomScaleNormal="72" workbookViewId="0">
      <selection activeCell="L31" sqref="L31"/>
    </sheetView>
  </sheetViews>
  <sheetFormatPr defaultColWidth="10.875" defaultRowHeight="14.25"/>
  <cols>
    <col min="1" max="1" width="10.875" style="93"/>
    <col min="2" max="2" width="27.625" style="94" customWidth="1"/>
    <col min="3" max="5" width="18" style="94" customWidth="1"/>
    <col min="6" max="6" width="10.875" style="93"/>
    <col min="7" max="7" width="29.5" style="93" customWidth="1"/>
    <col min="8" max="9" width="18" style="93" customWidth="1"/>
    <col min="10" max="11" width="17.875" style="93" customWidth="1"/>
    <col min="12" max="12" width="17.625" style="93" customWidth="1"/>
    <col min="13" max="14" width="18" style="93" customWidth="1"/>
    <col min="15" max="15" width="17.625" style="93" customWidth="1"/>
    <col min="16" max="16" width="10.875" style="93"/>
    <col min="17" max="18" width="12.75" style="93"/>
    <col min="19" max="16384" width="10.875" style="93"/>
  </cols>
  <sheetData>
    <row r="2" spans="2:17" ht="24" customHeight="1">
      <c r="B2" s="130" t="s">
        <v>0</v>
      </c>
      <c r="C2" s="130"/>
      <c r="D2" s="130"/>
      <c r="E2" s="130"/>
      <c r="G2" s="102"/>
      <c r="H2" s="104"/>
      <c r="I2" s="94"/>
      <c r="L2" s="102"/>
    </row>
    <row r="3" spans="2:17" ht="24.95" customHeight="1">
      <c r="B3" s="95" t="s">
        <v>1</v>
      </c>
      <c r="C3" s="96" t="e">
        <f>#REF!</f>
        <v>#REF!</v>
      </c>
      <c r="D3" s="96" t="e">
        <f>#REF!</f>
        <v>#REF!</v>
      </c>
      <c r="E3" s="95"/>
      <c r="F3" s="105"/>
      <c r="G3" s="106" t="s">
        <v>2</v>
      </c>
      <c r="H3" s="107" t="s">
        <v>3</v>
      </c>
      <c r="I3" s="107" t="s">
        <v>4</v>
      </c>
      <c r="J3" s="107" t="s">
        <v>5</v>
      </c>
      <c r="L3" s="106" t="s">
        <v>2</v>
      </c>
      <c r="M3" s="107" t="s">
        <v>3</v>
      </c>
      <c r="N3" s="107" t="s">
        <v>4</v>
      </c>
      <c r="O3" s="107" t="s">
        <v>5</v>
      </c>
    </row>
    <row r="4" spans="2:17" ht="24.95" customHeight="1">
      <c r="B4" s="95" t="s">
        <v>1</v>
      </c>
      <c r="C4" s="97" t="s">
        <v>3</v>
      </c>
      <c r="D4" s="97" t="s">
        <v>4</v>
      </c>
      <c r="E4" s="97" t="s">
        <v>6</v>
      </c>
      <c r="F4" s="105"/>
      <c r="G4" s="108" t="s">
        <v>7</v>
      </c>
      <c r="H4" s="109">
        <v>1318629.21</v>
      </c>
      <c r="I4" s="109">
        <v>1327697.05</v>
      </c>
      <c r="J4" s="109">
        <v>9067.84</v>
      </c>
      <c r="K4" s="114"/>
      <c r="L4" s="108" t="s">
        <v>7</v>
      </c>
      <c r="M4" s="109">
        <v>1318629.21</v>
      </c>
      <c r="N4" s="109">
        <v>1327697.05</v>
      </c>
      <c r="O4" s="109">
        <v>9067.84</v>
      </c>
      <c r="Q4" s="121">
        <f t="shared" ref="Q4:Q6" si="0">N4-M4-O4</f>
        <v>8.3673512563109398E-11</v>
      </c>
    </row>
    <row r="5" spans="2:17" ht="20.100000000000001" customHeight="1">
      <c r="B5" s="98" t="s">
        <v>8</v>
      </c>
      <c r="C5" s="99" t="e">
        <f>#REF!</f>
        <v>#REF!</v>
      </c>
      <c r="D5" s="99" t="e">
        <f>#REF!</f>
        <v>#REF!</v>
      </c>
      <c r="E5" s="99" t="e">
        <f>D5-C5</f>
        <v>#REF!</v>
      </c>
      <c r="G5" s="108" t="s">
        <v>9</v>
      </c>
      <c r="H5" s="109">
        <v>3000</v>
      </c>
      <c r="I5" s="115">
        <v>0</v>
      </c>
      <c r="J5" s="109">
        <v>-3000</v>
      </c>
      <c r="L5" s="108" t="s">
        <v>9</v>
      </c>
      <c r="M5" s="109">
        <v>3000</v>
      </c>
      <c r="N5" s="115">
        <v>0</v>
      </c>
      <c r="O5" s="109">
        <v>-3000</v>
      </c>
      <c r="Q5" s="121">
        <f t="shared" si="0"/>
        <v>0</v>
      </c>
    </row>
    <row r="6" spans="2:17" ht="20.100000000000001" customHeight="1">
      <c r="B6" s="98" t="s">
        <v>10</v>
      </c>
      <c r="C6" s="99" t="e">
        <f>#REF!</f>
        <v>#REF!</v>
      </c>
      <c r="D6" s="99" t="e">
        <f>#REF!</f>
        <v>#REF!</v>
      </c>
      <c r="E6" s="99" t="e">
        <f>D6-C6</f>
        <v>#REF!</v>
      </c>
      <c r="G6" s="108" t="s">
        <v>11</v>
      </c>
      <c r="H6" s="109">
        <v>63356.42</v>
      </c>
      <c r="I6" s="109">
        <v>10881.52</v>
      </c>
      <c r="J6" s="109">
        <v>-52474.9</v>
      </c>
      <c r="L6" s="108" t="s">
        <v>11</v>
      </c>
      <c r="M6" s="109">
        <v>63356.42</v>
      </c>
      <c r="N6" s="109">
        <v>10881.52</v>
      </c>
      <c r="O6" s="109">
        <v>-52474.9</v>
      </c>
      <c r="Q6" s="121">
        <f t="shared" si="0"/>
        <v>0</v>
      </c>
    </row>
    <row r="7" spans="2:17" ht="20.100000000000001" customHeight="1">
      <c r="B7" s="98" t="s">
        <v>12</v>
      </c>
      <c r="C7" s="99" t="e">
        <f>#REF!</f>
        <v>#REF!</v>
      </c>
      <c r="D7" s="99" t="e">
        <f>#REF!</f>
        <v>#REF!</v>
      </c>
      <c r="E7" s="99" t="e">
        <f>D7-C7</f>
        <v>#REF!</v>
      </c>
      <c r="G7" s="110" t="s">
        <v>13</v>
      </c>
      <c r="H7" s="111">
        <v>1386329.63</v>
      </c>
      <c r="I7" s="111">
        <v>1338578.57</v>
      </c>
      <c r="J7" s="111">
        <v>-47751.06</v>
      </c>
      <c r="L7" s="110" t="s">
        <v>13</v>
      </c>
      <c r="M7" s="111">
        <v>1386329.63</v>
      </c>
      <c r="N7" s="111">
        <v>1338578.57</v>
      </c>
      <c r="O7" s="111">
        <v>-46407.06</v>
      </c>
      <c r="Q7" s="121">
        <f>N7-M7</f>
        <v>-47751.059999999801</v>
      </c>
    </row>
    <row r="8" spans="2:17" ht="20.100000000000001" customHeight="1">
      <c r="G8" s="94"/>
      <c r="H8" s="94">
        <f t="shared" ref="H8:J8" si="1">H6+H5+H4</f>
        <v>1384985.63</v>
      </c>
      <c r="I8" s="94">
        <f t="shared" si="1"/>
        <v>1338578.57</v>
      </c>
      <c r="J8" s="94">
        <f t="shared" si="1"/>
        <v>-46407.06</v>
      </c>
      <c r="M8" s="93">
        <f t="shared" ref="M8:O8" si="2">M6+M5+M4</f>
        <v>1384985.63</v>
      </c>
      <c r="N8" s="93">
        <f t="shared" si="2"/>
        <v>1338578.57</v>
      </c>
      <c r="O8" s="93">
        <f t="shared" si="2"/>
        <v>-46407.06</v>
      </c>
    </row>
    <row r="9" spans="2:17" ht="20.100000000000001" customHeight="1">
      <c r="B9" s="131" t="s">
        <v>14</v>
      </c>
      <c r="C9" s="131"/>
      <c r="D9" s="131"/>
      <c r="E9" s="131"/>
      <c r="G9" s="131" t="s">
        <v>15</v>
      </c>
      <c r="H9" s="131"/>
      <c r="I9" s="131"/>
      <c r="J9" s="131"/>
      <c r="K9" s="100"/>
      <c r="L9" s="131" t="s">
        <v>16</v>
      </c>
      <c r="M9" s="131"/>
      <c r="N9" s="131"/>
      <c r="O9" s="131"/>
    </row>
    <row r="10" spans="2:17" ht="20.100000000000001" customHeight="1">
      <c r="B10" s="95" t="s">
        <v>1</v>
      </c>
      <c r="C10" s="97" t="s">
        <v>3</v>
      </c>
      <c r="D10" s="97" t="s">
        <v>4</v>
      </c>
      <c r="E10" s="97" t="s">
        <v>6</v>
      </c>
      <c r="G10" s="95" t="s">
        <v>1</v>
      </c>
      <c r="H10" s="97" t="s">
        <v>3</v>
      </c>
      <c r="I10" s="97" t="s">
        <v>4</v>
      </c>
      <c r="J10" s="97" t="s">
        <v>6</v>
      </c>
      <c r="K10" s="114"/>
      <c r="L10" s="116" t="s">
        <v>17</v>
      </c>
      <c r="M10" s="116" t="s">
        <v>18</v>
      </c>
      <c r="N10" s="116" t="s">
        <v>19</v>
      </c>
      <c r="O10" s="116" t="s">
        <v>20</v>
      </c>
    </row>
    <row r="11" spans="2:17" ht="20.100000000000001" customHeight="1">
      <c r="B11" s="98" t="e">
        <f>#REF!</f>
        <v>#REF!</v>
      </c>
      <c r="C11" s="101" t="e">
        <f>#REF!</f>
        <v>#REF!</v>
      </c>
      <c r="D11" s="101" t="e">
        <f>#REF!</f>
        <v>#REF!</v>
      </c>
      <c r="E11" s="101" t="e">
        <f>D11-C11</f>
        <v>#REF!</v>
      </c>
      <c r="G11" s="98" t="e">
        <f>#REF!</f>
        <v>#REF!</v>
      </c>
      <c r="H11" s="101" t="e">
        <f>#REF!</f>
        <v>#REF!</v>
      </c>
      <c r="I11" s="101" t="e">
        <f>#REF!</f>
        <v>#REF!</v>
      </c>
      <c r="J11" s="117" t="e">
        <f t="shared" ref="J11:J15" si="3">I11-H11</f>
        <v>#REF!</v>
      </c>
      <c r="L11" s="118" t="s">
        <v>3</v>
      </c>
      <c r="M11" s="119" t="e">
        <f>#REF!</f>
        <v>#REF!</v>
      </c>
      <c r="N11" s="119" t="e">
        <f>#REF!</f>
        <v>#REF!</v>
      </c>
      <c r="O11" s="119" t="e">
        <f>N11+M11</f>
        <v>#REF!</v>
      </c>
    </row>
    <row r="12" spans="2:17" ht="20.100000000000001" customHeight="1">
      <c r="B12" s="98" t="e">
        <f>#REF!</f>
        <v>#REF!</v>
      </c>
      <c r="C12" s="101" t="e">
        <f>#REF!</f>
        <v>#REF!</v>
      </c>
      <c r="D12" s="101" t="e">
        <f>#REF!</f>
        <v>#REF!</v>
      </c>
      <c r="E12" s="101" t="e">
        <f t="shared" ref="E12:E30" si="4">D12-C12</f>
        <v>#REF!</v>
      </c>
      <c r="G12" s="98" t="e">
        <f>#REF!</f>
        <v>#REF!</v>
      </c>
      <c r="H12" s="101" t="e">
        <f>#REF!</f>
        <v>#REF!</v>
      </c>
      <c r="I12" s="101" t="e">
        <f>#REF!</f>
        <v>#REF!</v>
      </c>
      <c r="J12" s="117" t="e">
        <f t="shared" si="3"/>
        <v>#REF!</v>
      </c>
      <c r="L12" s="118" t="s">
        <v>21</v>
      </c>
      <c r="M12" s="119"/>
      <c r="N12" s="119"/>
      <c r="O12" s="119"/>
    </row>
    <row r="13" spans="2:17" ht="20.100000000000001" customHeight="1">
      <c r="B13" s="98" t="e">
        <f>#REF!</f>
        <v>#REF!</v>
      </c>
      <c r="C13" s="101" t="e">
        <f>#REF!</f>
        <v>#REF!</v>
      </c>
      <c r="D13" s="101" t="e">
        <f>#REF!</f>
        <v>#REF!</v>
      </c>
      <c r="E13" s="101" t="e">
        <f t="shared" si="4"/>
        <v>#REF!</v>
      </c>
      <c r="G13" s="98" t="e">
        <f>#REF!</f>
        <v>#REF!</v>
      </c>
      <c r="H13" s="101" t="e">
        <f>#REF!</f>
        <v>#REF!</v>
      </c>
      <c r="I13" s="101" t="e">
        <f>#REF!</f>
        <v>#REF!</v>
      </c>
      <c r="J13" s="117" t="e">
        <f t="shared" si="3"/>
        <v>#REF!</v>
      </c>
      <c r="L13" s="118" t="s">
        <v>22</v>
      </c>
      <c r="M13" s="119"/>
      <c r="N13" s="119"/>
      <c r="O13" s="119"/>
    </row>
    <row r="14" spans="2:17" ht="20.100000000000001" customHeight="1">
      <c r="B14" s="98" t="e">
        <f>#REF!</f>
        <v>#REF!</v>
      </c>
      <c r="C14" s="101" t="e">
        <f>#REF!</f>
        <v>#REF!</v>
      </c>
      <c r="D14" s="101" t="e">
        <f>#REF!</f>
        <v>#REF!</v>
      </c>
      <c r="E14" s="101" t="e">
        <f t="shared" si="4"/>
        <v>#REF!</v>
      </c>
      <c r="G14" s="98" t="e">
        <f>#REF!</f>
        <v>#REF!</v>
      </c>
      <c r="H14" s="101" t="e">
        <f>#REF!</f>
        <v>#REF!</v>
      </c>
      <c r="I14" s="101" t="e">
        <f>#REF!</f>
        <v>#REF!</v>
      </c>
      <c r="J14" s="117" t="e">
        <f t="shared" si="3"/>
        <v>#REF!</v>
      </c>
      <c r="L14" s="118" t="s">
        <v>4</v>
      </c>
      <c r="M14" s="119" t="e">
        <f>#REF!</f>
        <v>#REF!</v>
      </c>
      <c r="N14" s="119" t="e">
        <f>#REF!</f>
        <v>#REF!</v>
      </c>
      <c r="O14" s="119" t="e">
        <f>N14+M14</f>
        <v>#REF!</v>
      </c>
    </row>
    <row r="15" spans="2:17" ht="20.100000000000001" customHeight="1">
      <c r="B15" s="98" t="e">
        <f>#REF!</f>
        <v>#REF!</v>
      </c>
      <c r="C15" s="101" t="e">
        <f>#REF!</f>
        <v>#REF!</v>
      </c>
      <c r="D15" s="101" t="e">
        <f>#REF!</f>
        <v>#REF!</v>
      </c>
      <c r="E15" s="101" t="e">
        <f t="shared" si="4"/>
        <v>#REF!</v>
      </c>
      <c r="G15" s="98" t="e">
        <f>#REF!</f>
        <v>#REF!</v>
      </c>
      <c r="H15" s="101" t="e">
        <f>#REF!</f>
        <v>#REF!</v>
      </c>
      <c r="I15" s="101" t="e">
        <f>#REF!</f>
        <v>#REF!</v>
      </c>
      <c r="J15" s="117" t="e">
        <f t="shared" si="3"/>
        <v>#REF!</v>
      </c>
      <c r="L15" s="93" t="s">
        <v>23</v>
      </c>
      <c r="M15" s="120" t="e">
        <f t="shared" ref="M15:O15" si="5">M14-M11</f>
        <v>#REF!</v>
      </c>
      <c r="N15" s="120" t="e">
        <f t="shared" si="5"/>
        <v>#REF!</v>
      </c>
      <c r="O15" s="120" t="e">
        <f t="shared" si="5"/>
        <v>#REF!</v>
      </c>
    </row>
    <row r="16" spans="2:17" ht="20.100000000000001" customHeight="1">
      <c r="B16" s="98" t="e">
        <f>#REF!</f>
        <v>#REF!</v>
      </c>
      <c r="C16" s="101" t="e">
        <f>#REF!</f>
        <v>#REF!</v>
      </c>
      <c r="D16" s="101" t="e">
        <f>#REF!</f>
        <v>#REF!</v>
      </c>
      <c r="E16" s="101" t="e">
        <f t="shared" si="4"/>
        <v>#REF!</v>
      </c>
      <c r="G16" s="98" t="e">
        <f>#REF!</f>
        <v>#REF!</v>
      </c>
      <c r="H16" s="101" t="e">
        <f>#REF!</f>
        <v>#REF!</v>
      </c>
      <c r="I16" s="101" t="e">
        <f>#REF!</f>
        <v>#REF!</v>
      </c>
      <c r="J16" s="117" t="e">
        <f t="shared" ref="J16:J27" si="6">I16-H16</f>
        <v>#REF!</v>
      </c>
    </row>
    <row r="17" spans="2:18" ht="20.100000000000001" customHeight="1">
      <c r="B17" s="98" t="e">
        <f>#REF!</f>
        <v>#REF!</v>
      </c>
      <c r="C17" s="101" t="e">
        <f>#REF!</f>
        <v>#REF!</v>
      </c>
      <c r="D17" s="101" t="e">
        <f>#REF!</f>
        <v>#REF!</v>
      </c>
      <c r="E17" s="101" t="e">
        <f t="shared" si="4"/>
        <v>#REF!</v>
      </c>
      <c r="G17" s="98" t="e">
        <f>#REF!</f>
        <v>#REF!</v>
      </c>
      <c r="H17" s="101" t="e">
        <f>#REF!</f>
        <v>#REF!</v>
      </c>
      <c r="I17" s="101" t="e">
        <f>#REF!</f>
        <v>#REF!</v>
      </c>
      <c r="J17" s="117" t="e">
        <f t="shared" si="6"/>
        <v>#REF!</v>
      </c>
    </row>
    <row r="18" spans="2:18" ht="20.100000000000001" customHeight="1">
      <c r="B18" s="98" t="e">
        <f>#REF!</f>
        <v>#REF!</v>
      </c>
      <c r="C18" s="101" t="e">
        <f>#REF!</f>
        <v>#REF!</v>
      </c>
      <c r="D18" s="101" t="e">
        <f>#REF!</f>
        <v>#REF!</v>
      </c>
      <c r="E18" s="101" t="e">
        <f t="shared" si="4"/>
        <v>#REF!</v>
      </c>
      <c r="G18" s="98" t="e">
        <f>#REF!</f>
        <v>#REF!</v>
      </c>
      <c r="H18" s="101" t="e">
        <f>#REF!</f>
        <v>#REF!</v>
      </c>
      <c r="I18" s="101" t="e">
        <f>#REF!</f>
        <v>#REF!</v>
      </c>
      <c r="J18" s="117" t="e">
        <f t="shared" si="6"/>
        <v>#REF!</v>
      </c>
      <c r="M18" s="93">
        <f>M7-M8</f>
        <v>1344</v>
      </c>
    </row>
    <row r="19" spans="2:18" ht="20.100000000000001" customHeight="1">
      <c r="B19" s="98" t="e">
        <f>#REF!</f>
        <v>#REF!</v>
      </c>
      <c r="C19" s="101" t="e">
        <f>#REF!</f>
        <v>#REF!</v>
      </c>
      <c r="D19" s="101" t="e">
        <f>#REF!</f>
        <v>#REF!</v>
      </c>
      <c r="E19" s="101" t="e">
        <f t="shared" si="4"/>
        <v>#REF!</v>
      </c>
      <c r="G19" s="98" t="e">
        <f>#REF!</f>
        <v>#REF!</v>
      </c>
      <c r="H19" s="101" t="e">
        <f>#REF!</f>
        <v>#REF!</v>
      </c>
      <c r="I19" s="101" t="e">
        <f>#REF!</f>
        <v>#REF!</v>
      </c>
      <c r="J19" s="117" t="e">
        <f t="shared" si="6"/>
        <v>#REF!</v>
      </c>
    </row>
    <row r="20" spans="2:18" ht="20.100000000000001" customHeight="1">
      <c r="B20" s="98" t="e">
        <f>#REF!</f>
        <v>#REF!</v>
      </c>
      <c r="C20" s="101" t="e">
        <f>#REF!</f>
        <v>#REF!</v>
      </c>
      <c r="D20" s="101" t="e">
        <f>#REF!</f>
        <v>#REF!</v>
      </c>
      <c r="E20" s="101" t="e">
        <f t="shared" si="4"/>
        <v>#REF!</v>
      </c>
      <c r="G20" s="98" t="e">
        <f>#REF!</f>
        <v>#REF!</v>
      </c>
      <c r="H20" s="101" t="e">
        <f>#REF!</f>
        <v>#REF!</v>
      </c>
      <c r="I20" s="101" t="e">
        <f>#REF!</f>
        <v>#REF!</v>
      </c>
      <c r="J20" s="117" t="e">
        <f t="shared" si="6"/>
        <v>#REF!</v>
      </c>
      <c r="L20" s="106" t="s">
        <v>2</v>
      </c>
      <c r="M20" s="107" t="s">
        <v>3</v>
      </c>
      <c r="N20" s="107" t="s">
        <v>4</v>
      </c>
      <c r="O20" s="107" t="s">
        <v>5</v>
      </c>
      <c r="R20" s="122"/>
    </row>
    <row r="21" spans="2:18" ht="20.100000000000001" customHeight="1">
      <c r="B21" s="98" t="e">
        <f>#REF!</f>
        <v>#REF!</v>
      </c>
      <c r="C21" s="101" t="e">
        <f>#REF!</f>
        <v>#REF!</v>
      </c>
      <c r="D21" s="101" t="e">
        <f>#REF!</f>
        <v>#REF!</v>
      </c>
      <c r="E21" s="101" t="e">
        <f t="shared" si="4"/>
        <v>#REF!</v>
      </c>
      <c r="G21" s="98" t="e">
        <f>#REF!</f>
        <v>#REF!</v>
      </c>
      <c r="H21" s="101" t="e">
        <f>#REF!</f>
        <v>#REF!</v>
      </c>
      <c r="I21" s="101" t="e">
        <f>#REF!</f>
        <v>#REF!</v>
      </c>
      <c r="J21" s="117" t="e">
        <f t="shared" si="6"/>
        <v>#REF!</v>
      </c>
      <c r="L21" s="108" t="s">
        <v>7</v>
      </c>
      <c r="M21" s="109">
        <v>1318629.21</v>
      </c>
      <c r="N21" s="109">
        <v>1327697.05</v>
      </c>
      <c r="O21" s="109">
        <v>9067.84</v>
      </c>
      <c r="Q21" s="93">
        <f t="shared" ref="Q21:Q24" si="7">N21-M21</f>
        <v>9067.8400000000802</v>
      </c>
      <c r="R21" s="122">
        <f t="shared" ref="R21:R24" si="8">Q21-O21</f>
        <v>8.3673512563109398E-11</v>
      </c>
    </row>
    <row r="22" spans="2:18" ht="20.100000000000001" customHeight="1">
      <c r="B22" s="98" t="e">
        <f>#REF!</f>
        <v>#REF!</v>
      </c>
      <c r="C22" s="101" t="e">
        <f>#REF!</f>
        <v>#REF!</v>
      </c>
      <c r="D22" s="101" t="e">
        <f>#REF!</f>
        <v>#REF!</v>
      </c>
      <c r="E22" s="101" t="e">
        <f t="shared" si="4"/>
        <v>#REF!</v>
      </c>
      <c r="G22" s="112">
        <v>18328</v>
      </c>
      <c r="H22" s="101" t="e">
        <f>#REF!</f>
        <v>#REF!</v>
      </c>
      <c r="I22" s="101" t="e">
        <f>#REF!</f>
        <v>#REF!</v>
      </c>
      <c r="J22" s="117" t="e">
        <f t="shared" si="6"/>
        <v>#REF!</v>
      </c>
      <c r="L22" s="108" t="s">
        <v>9</v>
      </c>
      <c r="M22" s="109">
        <v>3000</v>
      </c>
      <c r="N22" s="115">
        <v>0</v>
      </c>
      <c r="O22" s="109">
        <v>-3000</v>
      </c>
      <c r="Q22" s="93">
        <f t="shared" si="7"/>
        <v>-3000</v>
      </c>
      <c r="R22" s="122">
        <f t="shared" si="8"/>
        <v>0</v>
      </c>
    </row>
    <row r="23" spans="2:18" ht="20.100000000000001" customHeight="1">
      <c r="B23" s="98" t="e">
        <f>#REF!</f>
        <v>#REF!</v>
      </c>
      <c r="C23" s="101" t="e">
        <f>#REF!</f>
        <v>#REF!</v>
      </c>
      <c r="D23" s="101" t="e">
        <f>#REF!</f>
        <v>#REF!</v>
      </c>
      <c r="E23" s="101" t="e">
        <f t="shared" si="4"/>
        <v>#REF!</v>
      </c>
      <c r="G23" s="98" t="e">
        <f>#REF!</f>
        <v>#REF!</v>
      </c>
      <c r="H23" s="101" t="e">
        <f>#REF!</f>
        <v>#REF!</v>
      </c>
      <c r="I23" s="101" t="e">
        <f>#REF!</f>
        <v>#REF!</v>
      </c>
      <c r="J23" s="117" t="e">
        <f t="shared" si="6"/>
        <v>#REF!</v>
      </c>
      <c r="L23" s="108" t="s">
        <v>11</v>
      </c>
      <c r="M23" s="109">
        <v>63356.42</v>
      </c>
      <c r="N23" s="109">
        <v>10881.52</v>
      </c>
      <c r="O23" s="109">
        <v>-52474.9</v>
      </c>
      <c r="Q23" s="93">
        <f t="shared" si="7"/>
        <v>-52474.9</v>
      </c>
      <c r="R23" s="122">
        <f t="shared" si="8"/>
        <v>0</v>
      </c>
    </row>
    <row r="24" spans="2:18" ht="20.100000000000001" customHeight="1">
      <c r="B24" s="98" t="e">
        <f>#REF!</f>
        <v>#REF!</v>
      </c>
      <c r="C24" s="101" t="e">
        <f>#REF!</f>
        <v>#REF!</v>
      </c>
      <c r="D24" s="101" t="e">
        <f>#REF!</f>
        <v>#REF!</v>
      </c>
      <c r="E24" s="101" t="e">
        <f t="shared" si="4"/>
        <v>#REF!</v>
      </c>
      <c r="G24" s="98" t="e">
        <f>#REF!</f>
        <v>#REF!</v>
      </c>
      <c r="H24" s="101" t="e">
        <f>#REF!</f>
        <v>#REF!</v>
      </c>
      <c r="I24" s="101" t="e">
        <f>#REF!</f>
        <v>#REF!</v>
      </c>
      <c r="J24" s="117" t="e">
        <f t="shared" si="6"/>
        <v>#REF!</v>
      </c>
      <c r="L24" s="110" t="s">
        <v>13</v>
      </c>
      <c r="M24" s="109">
        <v>1384985.63</v>
      </c>
      <c r="N24" s="111">
        <v>1338578.57</v>
      </c>
      <c r="O24" s="111">
        <v>-46407.06</v>
      </c>
      <c r="Q24" s="93">
        <f t="shared" si="7"/>
        <v>-46407.059999999801</v>
      </c>
      <c r="R24" s="122">
        <f t="shared" si="8"/>
        <v>1.7462298274040199E-10</v>
      </c>
    </row>
    <row r="25" spans="2:18" ht="20.100000000000001" customHeight="1">
      <c r="B25" s="98" t="e">
        <f>#REF!</f>
        <v>#REF!</v>
      </c>
      <c r="C25" s="101" t="e">
        <f>#REF!</f>
        <v>#REF!</v>
      </c>
      <c r="D25" s="101" t="e">
        <f>#REF!</f>
        <v>#REF!</v>
      </c>
      <c r="E25" s="101" t="e">
        <f t="shared" si="4"/>
        <v>#REF!</v>
      </c>
      <c r="G25" s="98" t="e">
        <f>#REF!</f>
        <v>#REF!</v>
      </c>
      <c r="H25" s="101" t="e">
        <f>#REF!</f>
        <v>#REF!</v>
      </c>
      <c r="I25" s="101" t="e">
        <f>#REF!</f>
        <v>#REF!</v>
      </c>
      <c r="J25" s="117" t="e">
        <f t="shared" si="6"/>
        <v>#REF!</v>
      </c>
      <c r="R25" s="122"/>
    </row>
    <row r="26" spans="2:18" ht="20.100000000000001" customHeight="1">
      <c r="B26" s="98" t="e">
        <f>#REF!</f>
        <v>#REF!</v>
      </c>
      <c r="C26" s="101" t="e">
        <f>#REF!</f>
        <v>#REF!</v>
      </c>
      <c r="D26" s="101" t="e">
        <f>#REF!</f>
        <v>#REF!</v>
      </c>
      <c r="E26" s="101" t="e">
        <f t="shared" si="4"/>
        <v>#REF!</v>
      </c>
      <c r="G26" s="98" t="e">
        <f>#REF!</f>
        <v>#REF!</v>
      </c>
      <c r="H26" s="101" t="e">
        <f>#REF!</f>
        <v>#REF!</v>
      </c>
      <c r="I26" s="101" t="e">
        <f>#REF!</f>
        <v>#REF!</v>
      </c>
      <c r="J26" s="117" t="e">
        <f t="shared" si="6"/>
        <v>#REF!</v>
      </c>
      <c r="M26" s="93">
        <f t="shared" ref="M26:O26" si="9">SUM((M21:M23))</f>
        <v>1384985.63</v>
      </c>
      <c r="N26" s="93">
        <f t="shared" si="9"/>
        <v>1338578.57</v>
      </c>
      <c r="O26" s="93">
        <f t="shared" si="9"/>
        <v>-46407.06</v>
      </c>
      <c r="Q26" s="93">
        <f>N26-M26</f>
        <v>-46407.059999999801</v>
      </c>
      <c r="R26" s="122">
        <f>Q26-O26</f>
        <v>1.7462298274040199E-10</v>
      </c>
    </row>
    <row r="27" spans="2:18" ht="20.100000000000001" customHeight="1">
      <c r="B27" s="98" t="e">
        <f>#REF!</f>
        <v>#REF!</v>
      </c>
      <c r="C27" s="101" t="e">
        <f>#REF!</f>
        <v>#REF!</v>
      </c>
      <c r="D27" s="101" t="e">
        <f>#REF!</f>
        <v>#REF!</v>
      </c>
      <c r="E27" s="101" t="e">
        <f t="shared" si="4"/>
        <v>#REF!</v>
      </c>
      <c r="G27" s="98" t="e">
        <f>#REF!</f>
        <v>#REF!</v>
      </c>
      <c r="H27" s="101" t="e">
        <f>#REF!</f>
        <v>#REF!</v>
      </c>
      <c r="I27" s="101" t="e">
        <f>#REF!</f>
        <v>#REF!</v>
      </c>
      <c r="J27" s="117" t="e">
        <f t="shared" si="6"/>
        <v>#REF!</v>
      </c>
      <c r="R27" s="122"/>
    </row>
    <row r="28" spans="2:18" ht="20.100000000000001" customHeight="1">
      <c r="B28" s="98" t="e">
        <f>#REF!</f>
        <v>#REF!</v>
      </c>
      <c r="C28" s="101" t="e">
        <f>#REF!</f>
        <v>#REF!</v>
      </c>
      <c r="D28" s="101" t="e">
        <f>#REF!</f>
        <v>#REF!</v>
      </c>
      <c r="E28" s="101" t="e">
        <f t="shared" si="4"/>
        <v>#REF!</v>
      </c>
      <c r="G28" s="94"/>
      <c r="H28" s="94"/>
      <c r="I28" s="94"/>
    </row>
    <row r="29" spans="2:18" ht="20.100000000000001" customHeight="1">
      <c r="B29" s="98" t="e">
        <f>#REF!</f>
        <v>#REF!</v>
      </c>
      <c r="C29" s="101" t="e">
        <f>#REF!</f>
        <v>#REF!</v>
      </c>
      <c r="D29" s="101" t="e">
        <f>#REF!</f>
        <v>#REF!</v>
      </c>
      <c r="E29" s="101" t="e">
        <f t="shared" si="4"/>
        <v>#REF!</v>
      </c>
      <c r="G29" s="94"/>
      <c r="H29" s="94"/>
      <c r="I29" s="94"/>
    </row>
    <row r="30" spans="2:18" ht="20.100000000000001" customHeight="1">
      <c r="B30" s="98" t="e">
        <f>#REF!</f>
        <v>#REF!</v>
      </c>
      <c r="C30" s="101" t="e">
        <f>#REF!</f>
        <v>#REF!</v>
      </c>
      <c r="D30" s="101" t="e">
        <f>#REF!</f>
        <v>#REF!</v>
      </c>
      <c r="E30" s="101" t="e">
        <f t="shared" si="4"/>
        <v>#REF!</v>
      </c>
    </row>
    <row r="31" spans="2:18">
      <c r="C31" s="94" t="e">
        <f>C11+C13+C24</f>
        <v>#REF!</v>
      </c>
      <c r="D31" s="94" t="e">
        <f>D11+D13+D24</f>
        <v>#REF!</v>
      </c>
      <c r="E31" s="94" t="e">
        <f>E11+E13+E24</f>
        <v>#REF!</v>
      </c>
    </row>
    <row r="32" spans="2:18">
      <c r="B32" s="102" t="s">
        <v>24</v>
      </c>
    </row>
    <row r="33" spans="2:11">
      <c r="B33" s="98" t="s">
        <v>25</v>
      </c>
      <c r="C33" s="103" t="e">
        <f>#REF!</f>
        <v>#REF!</v>
      </c>
      <c r="D33" s="98" t="e">
        <f>#REF!</f>
        <v>#REF!</v>
      </c>
      <c r="E33" s="98" t="e">
        <f>#REF!</f>
        <v>#REF!</v>
      </c>
      <c r="F33" s="98" t="e">
        <f>#REF!</f>
        <v>#REF!</v>
      </c>
      <c r="G33" s="98" t="e">
        <f>#REF!</f>
        <v>#REF!</v>
      </c>
      <c r="H33" s="98" t="e">
        <f>#REF!</f>
        <v>#REF!</v>
      </c>
      <c r="I33" s="98" t="s">
        <v>20</v>
      </c>
      <c r="J33" s="94" t="s">
        <v>26</v>
      </c>
      <c r="K33" s="94" t="s">
        <v>27</v>
      </c>
    </row>
    <row r="34" spans="2:11">
      <c r="B34" s="98" t="e">
        <f>#REF!</f>
        <v>#REF!</v>
      </c>
      <c r="C34" s="98" t="e">
        <f>#REF!</f>
        <v>#REF!</v>
      </c>
      <c r="D34" s="98" t="e">
        <f>#REF!</f>
        <v>#REF!</v>
      </c>
      <c r="E34" s="98" t="e">
        <f>#REF!</f>
        <v>#REF!</v>
      </c>
      <c r="F34" s="113" t="e">
        <f>#REF!</f>
        <v>#REF!</v>
      </c>
      <c r="G34" s="113" t="e">
        <f>#REF!</f>
        <v>#REF!</v>
      </c>
      <c r="H34" s="113" t="e">
        <f>#REF!</f>
        <v>#REF!</v>
      </c>
      <c r="I34" s="113" t="e">
        <f>#REF!</f>
        <v>#REF!</v>
      </c>
      <c r="J34" s="94" t="e">
        <f t="shared" ref="J34:J41" si="10">SUM(C34:H34)</f>
        <v>#REF!</v>
      </c>
      <c r="K34" s="94" t="e">
        <f>J34-I34</f>
        <v>#REF!</v>
      </c>
    </row>
    <row r="35" spans="2:11">
      <c r="B35" s="98" t="e">
        <f>#REF!</f>
        <v>#REF!</v>
      </c>
      <c r="C35" s="98" t="e">
        <f>#REF!</f>
        <v>#REF!</v>
      </c>
      <c r="D35" s="98" t="e">
        <f>#REF!</f>
        <v>#REF!</v>
      </c>
      <c r="E35" s="98" t="e">
        <f>#REF!</f>
        <v>#REF!</v>
      </c>
      <c r="F35" s="113" t="e">
        <f>#REF!</f>
        <v>#REF!</v>
      </c>
      <c r="G35" s="113" t="e">
        <f>#REF!</f>
        <v>#REF!</v>
      </c>
      <c r="H35" s="113" t="e">
        <f>#REF!</f>
        <v>#REF!</v>
      </c>
      <c r="I35" s="113" t="e">
        <f>#REF!</f>
        <v>#REF!</v>
      </c>
      <c r="J35" s="94" t="e">
        <f t="shared" si="10"/>
        <v>#REF!</v>
      </c>
      <c r="K35" s="94" t="e">
        <f t="shared" ref="K35:K41" si="11">J35-I35</f>
        <v>#REF!</v>
      </c>
    </row>
    <row r="36" spans="2:11">
      <c r="B36" s="98" t="e">
        <f>#REF!</f>
        <v>#REF!</v>
      </c>
      <c r="C36" s="98" t="e">
        <f>#REF!</f>
        <v>#REF!</v>
      </c>
      <c r="D36" s="98" t="e">
        <f>#REF!</f>
        <v>#REF!</v>
      </c>
      <c r="E36" s="98" t="e">
        <f>#REF!</f>
        <v>#REF!</v>
      </c>
      <c r="F36" s="113" t="e">
        <f>#REF!</f>
        <v>#REF!</v>
      </c>
      <c r="G36" s="113" t="e">
        <f>#REF!</f>
        <v>#REF!</v>
      </c>
      <c r="H36" s="113" t="e">
        <f>#REF!</f>
        <v>#REF!</v>
      </c>
      <c r="I36" s="113" t="e">
        <f>#REF!</f>
        <v>#REF!</v>
      </c>
      <c r="J36" s="94" t="e">
        <f t="shared" si="10"/>
        <v>#REF!</v>
      </c>
      <c r="K36" s="94" t="e">
        <f t="shared" si="11"/>
        <v>#REF!</v>
      </c>
    </row>
    <row r="37" spans="2:11">
      <c r="B37" s="98" t="e">
        <f>#REF!</f>
        <v>#REF!</v>
      </c>
      <c r="C37" s="98" t="e">
        <f>#REF!</f>
        <v>#REF!</v>
      </c>
      <c r="D37" s="98" t="e">
        <f>#REF!</f>
        <v>#REF!</v>
      </c>
      <c r="E37" s="98" t="e">
        <f>#REF!</f>
        <v>#REF!</v>
      </c>
      <c r="F37" s="113" t="e">
        <f>#REF!</f>
        <v>#REF!</v>
      </c>
      <c r="G37" s="113" t="e">
        <f>#REF!</f>
        <v>#REF!</v>
      </c>
      <c r="H37" s="113" t="e">
        <f>#REF!</f>
        <v>#REF!</v>
      </c>
      <c r="I37" s="113" t="e">
        <f>#REF!</f>
        <v>#REF!</v>
      </c>
      <c r="J37" s="94" t="e">
        <f t="shared" si="10"/>
        <v>#REF!</v>
      </c>
      <c r="K37" s="94" t="e">
        <f t="shared" si="11"/>
        <v>#REF!</v>
      </c>
    </row>
    <row r="38" spans="2:11">
      <c r="B38" s="98" t="e">
        <f>#REF!</f>
        <v>#REF!</v>
      </c>
      <c r="C38" s="98" t="e">
        <f>#REF!</f>
        <v>#REF!</v>
      </c>
      <c r="D38" s="98" t="e">
        <f>#REF!</f>
        <v>#REF!</v>
      </c>
      <c r="E38" s="98" t="e">
        <f>#REF!</f>
        <v>#REF!</v>
      </c>
      <c r="F38" s="113" t="e">
        <f>#REF!</f>
        <v>#REF!</v>
      </c>
      <c r="G38" s="113" t="e">
        <f>#REF!</f>
        <v>#REF!</v>
      </c>
      <c r="H38" s="113" t="e">
        <f>#REF!</f>
        <v>#REF!</v>
      </c>
      <c r="I38" s="113" t="e">
        <f>#REF!</f>
        <v>#REF!</v>
      </c>
      <c r="J38" s="94" t="e">
        <f t="shared" si="10"/>
        <v>#REF!</v>
      </c>
      <c r="K38" s="94" t="e">
        <f t="shared" si="11"/>
        <v>#REF!</v>
      </c>
    </row>
    <row r="39" spans="2:11">
      <c r="B39" s="98" t="str">
        <f>'2024业务活动表'!D4</f>
        <v>2024年累计数</v>
      </c>
      <c r="C39" s="98">
        <f>'2024业务活动表'!D6</f>
        <v>0</v>
      </c>
      <c r="D39" s="98">
        <f>'2024业务活动表'!D7</f>
        <v>275000</v>
      </c>
      <c r="E39" s="98">
        <f>'2024业务活动表'!D8</f>
        <v>0</v>
      </c>
      <c r="F39" s="113">
        <f>'2024业务活动表'!D9</f>
        <v>0</v>
      </c>
      <c r="G39" s="113">
        <f>'2024业务活动表'!D10</f>
        <v>0</v>
      </c>
      <c r="H39" s="113">
        <f>'2024业务活动表'!D10</f>
        <v>0</v>
      </c>
      <c r="I39" s="113">
        <f>'2024业务活动表'!D12</f>
        <v>277209.63</v>
      </c>
      <c r="J39" s="94">
        <f t="shared" si="10"/>
        <v>275000</v>
      </c>
      <c r="K39" s="94">
        <f t="shared" si="11"/>
        <v>-2209.6300000000047</v>
      </c>
    </row>
    <row r="40" spans="2:11">
      <c r="B40" s="98" t="e">
        <f>#REF!</f>
        <v>#REF!</v>
      </c>
      <c r="C40" s="98" t="e">
        <f>#REF!</f>
        <v>#REF!</v>
      </c>
      <c r="D40" s="98" t="e">
        <f>#REF!</f>
        <v>#REF!</v>
      </c>
      <c r="E40" s="98" t="e">
        <f>#REF!</f>
        <v>#REF!</v>
      </c>
      <c r="F40" s="113" t="e">
        <f>#REF!</f>
        <v>#REF!</v>
      </c>
      <c r="G40" s="113" t="e">
        <f>#REF!</f>
        <v>#REF!</v>
      </c>
      <c r="H40" s="113" t="e">
        <f>#REF!</f>
        <v>#REF!</v>
      </c>
      <c r="I40" s="113" t="e">
        <f>#REF!</f>
        <v>#REF!</v>
      </c>
      <c r="J40" s="94" t="e">
        <f t="shared" si="10"/>
        <v>#REF!</v>
      </c>
      <c r="K40" s="94" t="e">
        <f t="shared" si="11"/>
        <v>#REF!</v>
      </c>
    </row>
    <row r="41" spans="2:11">
      <c r="B41" s="98" t="s">
        <v>20</v>
      </c>
      <c r="C41" s="98" t="e">
        <f>SUM(C34:C40)</f>
        <v>#REF!</v>
      </c>
      <c r="D41" s="98" t="e">
        <f t="shared" ref="D41:I41" si="12">SUM(D34:D40)</f>
        <v>#REF!</v>
      </c>
      <c r="E41" s="98" t="e">
        <f t="shared" si="12"/>
        <v>#REF!</v>
      </c>
      <c r="F41" s="98" t="e">
        <f t="shared" si="12"/>
        <v>#REF!</v>
      </c>
      <c r="G41" s="98" t="e">
        <f t="shared" si="12"/>
        <v>#REF!</v>
      </c>
      <c r="H41" s="98" t="e">
        <f t="shared" si="12"/>
        <v>#REF!</v>
      </c>
      <c r="I41" s="98" t="e">
        <f t="shared" si="12"/>
        <v>#REF!</v>
      </c>
      <c r="J41" s="94" t="e">
        <f t="shared" si="10"/>
        <v>#REF!</v>
      </c>
      <c r="K41" s="94" t="e">
        <f t="shared" si="11"/>
        <v>#REF!</v>
      </c>
    </row>
    <row r="48" spans="2:11">
      <c r="B48" s="102" t="s">
        <v>28</v>
      </c>
    </row>
    <row r="49" spans="2:7">
      <c r="B49" s="98" t="s">
        <v>25</v>
      </c>
      <c r="C49" s="98" t="e">
        <f>#REF!</f>
        <v>#REF!</v>
      </c>
      <c r="D49" s="98" t="e">
        <f>#REF!</f>
        <v>#REF!</v>
      </c>
      <c r="E49" s="98" t="e">
        <f>#REF!</f>
        <v>#REF!</v>
      </c>
      <c r="F49" s="113" t="e">
        <f>#REF!</f>
        <v>#REF!</v>
      </c>
      <c r="G49" s="113" t="e">
        <f>#REF!</f>
        <v>#REF!</v>
      </c>
    </row>
    <row r="50" spans="2:7">
      <c r="B50" s="98" t="e">
        <f>#REF!</f>
        <v>#REF!</v>
      </c>
      <c r="C50" s="98" t="e">
        <f>#REF!</f>
        <v>#REF!</v>
      </c>
      <c r="D50" s="98" t="e">
        <f>#REF!</f>
        <v>#REF!</v>
      </c>
      <c r="E50" s="98" t="e">
        <f>#REF!</f>
        <v>#REF!</v>
      </c>
      <c r="F50" s="113" t="e">
        <f>#REF!</f>
        <v>#REF!</v>
      </c>
      <c r="G50" s="113" t="e">
        <f>#REF!</f>
        <v>#REF!</v>
      </c>
    </row>
    <row r="51" spans="2:7">
      <c r="B51" s="98" t="e">
        <f>#REF!</f>
        <v>#REF!</v>
      </c>
      <c r="C51" s="98" t="e">
        <f>#REF!</f>
        <v>#REF!</v>
      </c>
      <c r="D51" s="98" t="e">
        <f>#REF!</f>
        <v>#REF!</v>
      </c>
      <c r="E51" s="98" t="e">
        <f>#REF!</f>
        <v>#REF!</v>
      </c>
      <c r="F51" s="113" t="e">
        <f>#REF!</f>
        <v>#REF!</v>
      </c>
      <c r="G51" s="113" t="e">
        <f>#REF!</f>
        <v>#REF!</v>
      </c>
    </row>
    <row r="52" spans="2:7">
      <c r="B52" s="98" t="e">
        <f>#REF!</f>
        <v>#REF!</v>
      </c>
      <c r="C52" s="98" t="e">
        <f>#REF!</f>
        <v>#REF!</v>
      </c>
      <c r="D52" s="98" t="e">
        <f>#REF!</f>
        <v>#REF!</v>
      </c>
      <c r="E52" s="98" t="e">
        <f>#REF!</f>
        <v>#REF!</v>
      </c>
      <c r="F52" s="113" t="e">
        <f>#REF!</f>
        <v>#REF!</v>
      </c>
      <c r="G52" s="113" t="e">
        <f>#REF!</f>
        <v>#REF!</v>
      </c>
    </row>
    <row r="53" spans="2:7">
      <c r="B53" s="98" t="e">
        <f>#REF!</f>
        <v>#REF!</v>
      </c>
      <c r="C53" s="98" t="e">
        <f>#REF!</f>
        <v>#REF!</v>
      </c>
      <c r="D53" s="98" t="e">
        <f>#REF!</f>
        <v>#REF!</v>
      </c>
      <c r="E53" s="98" t="e">
        <f>#REF!</f>
        <v>#REF!</v>
      </c>
      <c r="F53" s="113" t="e">
        <f>#REF!</f>
        <v>#REF!</v>
      </c>
      <c r="G53" s="113" t="e">
        <f>#REF!</f>
        <v>#REF!</v>
      </c>
    </row>
    <row r="54" spans="2:7">
      <c r="B54" s="98" t="e">
        <f>#REF!</f>
        <v>#REF!</v>
      </c>
      <c r="C54" s="98" t="e">
        <f>#REF!</f>
        <v>#REF!</v>
      </c>
      <c r="D54" s="98" t="e">
        <f>#REF!</f>
        <v>#REF!</v>
      </c>
      <c r="E54" s="98" t="e">
        <f>#REF!</f>
        <v>#REF!</v>
      </c>
      <c r="F54" s="113" t="e">
        <f>#REF!</f>
        <v>#REF!</v>
      </c>
      <c r="G54" s="113" t="e">
        <f>#REF!</f>
        <v>#REF!</v>
      </c>
    </row>
    <row r="55" spans="2:7">
      <c r="B55" s="98" t="str">
        <f>'2024业务活动表'!D4</f>
        <v>2024年累计数</v>
      </c>
      <c r="C55" s="98">
        <f>'2024业务活动表'!D14</f>
        <v>243684.8</v>
      </c>
      <c r="D55" s="98">
        <f>'2024业务活动表'!D15</f>
        <v>44184.5</v>
      </c>
      <c r="E55" s="98">
        <f>'2024业务活动表'!D16</f>
        <v>0</v>
      </c>
      <c r="F55" s="113">
        <f>'2024业务活动表'!D17</f>
        <v>0</v>
      </c>
      <c r="G55" s="113">
        <f>'2024业务活动表'!D18</f>
        <v>287869.3</v>
      </c>
    </row>
    <row r="56" spans="2:7">
      <c r="B56" s="98" t="e">
        <f>#REF!</f>
        <v>#REF!</v>
      </c>
      <c r="C56" s="98" t="e">
        <f>#REF!</f>
        <v>#REF!</v>
      </c>
      <c r="D56" s="98" t="e">
        <f>#REF!</f>
        <v>#REF!</v>
      </c>
      <c r="E56" s="98" t="e">
        <f>#REF!</f>
        <v>#REF!</v>
      </c>
      <c r="F56" s="113" t="e">
        <f>#REF!</f>
        <v>#REF!</v>
      </c>
      <c r="G56" s="113" t="e">
        <f>#REF!</f>
        <v>#REF!</v>
      </c>
    </row>
    <row r="57" spans="2:7">
      <c r="B57" s="98" t="s">
        <v>20</v>
      </c>
      <c r="C57" s="98" t="e">
        <f t="shared" ref="C57:G57" si="13">SUM(C50:C56)</f>
        <v>#REF!</v>
      </c>
      <c r="D57" s="98" t="e">
        <f t="shared" si="13"/>
        <v>#REF!</v>
      </c>
      <c r="E57" s="98" t="e">
        <f t="shared" si="13"/>
        <v>#REF!</v>
      </c>
      <c r="F57" s="98" t="e">
        <f t="shared" si="13"/>
        <v>#REF!</v>
      </c>
      <c r="G57" s="98" t="e">
        <f t="shared" si="13"/>
        <v>#REF!</v>
      </c>
    </row>
  </sheetData>
  <mergeCells count="4">
    <mergeCell ref="B2:E2"/>
    <mergeCell ref="B9:E9"/>
    <mergeCell ref="G9:J9"/>
    <mergeCell ref="L9:O9"/>
  </mergeCells>
  <phoneticPr fontId="5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ECB2-6FBA-462C-A223-E42C74092441}">
  <dimension ref="A1:H66"/>
  <sheetViews>
    <sheetView view="pageBreakPreview" zoomScale="80" zoomScaleNormal="100" zoomScaleSheetLayoutView="80" workbookViewId="0">
      <selection activeCell="E11" sqref="E11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42735</v>
      </c>
      <c r="C4" s="54">
        <v>43100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722383.7</v>
      </c>
      <c r="C6" s="61">
        <v>816298.8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722383.7</v>
      </c>
      <c r="C15" s="58">
        <v>816298.8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722383.7</v>
      </c>
      <c r="C30" s="58">
        <v>816298.8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42735</v>
      </c>
      <c r="C36" s="54">
        <f>C4</f>
        <v>43100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93915.100000000093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'2017业务活动表'!D19</f>
        <v>93915.1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72">
        <v>722383.7</v>
      </c>
      <c r="C61" s="69">
        <v>816298.8</v>
      </c>
      <c r="D61" s="67"/>
      <c r="E61" s="67"/>
    </row>
    <row r="62" spans="1:7" s="44" customFormat="1" ht="24" customHeight="1">
      <c r="A62" s="56" t="s">
        <v>95</v>
      </c>
      <c r="B62" s="69"/>
      <c r="C62" s="60"/>
      <c r="D62" s="67"/>
      <c r="E62" s="80"/>
    </row>
    <row r="63" spans="1:7" s="44" customFormat="1" ht="24" customHeight="1">
      <c r="A63" s="64" t="s">
        <v>96</v>
      </c>
      <c r="B63" s="69">
        <v>722383.7</v>
      </c>
      <c r="C63" s="69">
        <v>816298.8</v>
      </c>
      <c r="D63" s="74"/>
      <c r="E63" s="59"/>
    </row>
    <row r="64" spans="1:7" s="44" customFormat="1" ht="24" customHeight="1">
      <c r="A64" s="63" t="s">
        <v>97</v>
      </c>
      <c r="B64" s="69">
        <v>722383.7</v>
      </c>
      <c r="C64" s="69">
        <v>816298.8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6AA5-9383-4CC7-A4F3-76EF468DE709}">
  <dimension ref="A1:IV65"/>
  <sheetViews>
    <sheetView view="pageBreakPreview" zoomScale="70" zoomScaleNormal="100" zoomScaleSheetLayoutView="70" workbookViewId="0">
      <selection activeCell="A14" sqref="A14:XFD14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170</v>
      </c>
      <c r="D4" s="87" t="s">
        <v>171</v>
      </c>
    </row>
    <row r="5" spans="1:7" s="25" customFormat="1" ht="25.5" customHeight="1">
      <c r="A5" s="33" t="s">
        <v>103</v>
      </c>
      <c r="B5" s="32">
        <v>1</v>
      </c>
      <c r="C5" s="83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240000</v>
      </c>
      <c r="D7" s="84">
        <v>260000</v>
      </c>
    </row>
    <row r="8" spans="1:7" s="25" customFormat="1" ht="25.5" customHeight="1">
      <c r="A8" s="36" t="s">
        <v>106</v>
      </c>
      <c r="B8" s="32">
        <v>4</v>
      </c>
      <c r="C8" s="84"/>
      <c r="D8" s="84"/>
    </row>
    <row r="9" spans="1:7" s="25" customFormat="1" ht="25.5" customHeight="1">
      <c r="A9" s="36" t="s">
        <v>107</v>
      </c>
      <c r="B9" s="32">
        <v>5</v>
      </c>
      <c r="C9" s="35"/>
      <c r="D9" s="84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2316.4499999999998</v>
      </c>
      <c r="D11" s="84">
        <v>2475.4499999999998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242316.45</v>
      </c>
      <c r="D12" s="84">
        <v>262475.45</v>
      </c>
    </row>
    <row r="13" spans="1:7" s="25" customFormat="1" ht="25.5" customHeight="1">
      <c r="A13" s="33" t="s">
        <v>111</v>
      </c>
      <c r="B13" s="32">
        <v>9</v>
      </c>
      <c r="C13" s="89"/>
    </row>
    <row r="14" spans="1:7" s="25" customFormat="1" ht="25.5" customHeight="1">
      <c r="A14" s="33" t="s">
        <v>112</v>
      </c>
      <c r="B14" s="32">
        <v>10</v>
      </c>
      <c r="C14" s="90">
        <v>285020</v>
      </c>
      <c r="D14" s="84">
        <v>158963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91">
        <v>8415.5300000000007</v>
      </c>
      <c r="D15" s="84">
        <v>9597.35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91">
        <v>293435.53000000003</v>
      </c>
      <c r="D18" s="84">
        <v>168560.35</v>
      </c>
      <c r="E18" s="88"/>
    </row>
    <row r="19" spans="1:13" s="25" customFormat="1" ht="28.5" customHeight="1">
      <c r="A19" s="36" t="s">
        <v>117</v>
      </c>
      <c r="B19" s="32">
        <v>15</v>
      </c>
      <c r="C19" s="91">
        <v>-51119.080000000024</v>
      </c>
      <c r="D19" s="84">
        <f>D12-D18</f>
        <v>93915.1</v>
      </c>
      <c r="E19" s="88"/>
    </row>
    <row r="20" spans="1:13" s="25" customFormat="1" ht="28.5" customHeight="1">
      <c r="A20" s="37" t="s">
        <v>118</v>
      </c>
      <c r="B20" s="32">
        <v>16</v>
      </c>
      <c r="C20" s="91"/>
      <c r="D20" s="84"/>
      <c r="F20" s="38"/>
      <c r="M20" s="39"/>
    </row>
    <row r="21" spans="1:13" ht="27">
      <c r="A21" s="37" t="s">
        <v>119</v>
      </c>
      <c r="B21" s="32">
        <v>17</v>
      </c>
      <c r="C21" s="91">
        <v>-51119.080000000024</v>
      </c>
      <c r="D21" s="89">
        <v>93915.1</v>
      </c>
      <c r="F21" s="85"/>
    </row>
    <row r="22" spans="1:13">
      <c r="D22" s="124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1482-99C7-4AE8-A0D0-524C88328587}">
  <dimension ref="A1:H66"/>
  <sheetViews>
    <sheetView view="pageBreakPreview" zoomScale="80" zoomScaleNormal="100" zoomScaleSheetLayoutView="80" workbookViewId="0">
      <selection activeCell="A64" sqref="A64:XFD64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43100</v>
      </c>
      <c r="C4" s="54">
        <v>43465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816298.8</v>
      </c>
      <c r="C6" s="61">
        <v>996924.33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816298.8</v>
      </c>
      <c r="C15" s="58">
        <v>996924.33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816298.8</v>
      </c>
      <c r="C30" s="58">
        <v>996924.33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43100</v>
      </c>
      <c r="C36" s="54">
        <f>C4</f>
        <v>43465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180625.52999999991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'2018业务活动表'!D19</f>
        <v>180625.52999999997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72">
        <v>816298.8</v>
      </c>
      <c r="C61" s="72">
        <v>996924.33</v>
      </c>
      <c r="D61" s="67"/>
      <c r="E61" s="67"/>
    </row>
    <row r="62" spans="1:7" s="44" customFormat="1" ht="24" customHeight="1">
      <c r="A62" s="56" t="s">
        <v>95</v>
      </c>
      <c r="B62" s="60"/>
      <c r="C62" s="60"/>
      <c r="D62" s="67"/>
      <c r="E62" s="80"/>
    </row>
    <row r="63" spans="1:7" s="44" customFormat="1" ht="24" customHeight="1">
      <c r="A63" s="64" t="s">
        <v>96</v>
      </c>
      <c r="B63" s="69">
        <v>816298.8</v>
      </c>
      <c r="C63" s="69">
        <v>996924.33</v>
      </c>
      <c r="D63" s="74"/>
      <c r="E63" s="59"/>
    </row>
    <row r="64" spans="1:7" s="44" customFormat="1" ht="24" customHeight="1">
      <c r="A64" s="63" t="s">
        <v>97</v>
      </c>
      <c r="B64" s="69">
        <v>816298.8</v>
      </c>
      <c r="C64" s="69">
        <v>996924.33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D3C4-1A88-4079-9252-BDC87A568803}">
  <dimension ref="A1:IV65"/>
  <sheetViews>
    <sheetView view="pageBreakPreview" zoomScale="85" zoomScaleNormal="100" zoomScaleSheetLayoutView="85" workbookViewId="0">
      <selection activeCell="A64" sqref="A64:XFD64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171</v>
      </c>
      <c r="D4" s="87" t="s">
        <v>172</v>
      </c>
    </row>
    <row r="5" spans="1:7" s="25" customFormat="1" ht="25.5" customHeight="1">
      <c r="A5" s="33" t="s">
        <v>103</v>
      </c>
      <c r="B5" s="32">
        <v>1</v>
      </c>
      <c r="C5" s="83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260000</v>
      </c>
      <c r="D7" s="84">
        <v>315000</v>
      </c>
    </row>
    <row r="8" spans="1:7" s="25" customFormat="1" ht="25.5" customHeight="1">
      <c r="A8" s="36" t="s">
        <v>106</v>
      </c>
      <c r="B8" s="32">
        <v>4</v>
      </c>
      <c r="C8" s="84"/>
      <c r="D8" s="84">
        <v>20000</v>
      </c>
    </row>
    <row r="9" spans="1:7" s="25" customFormat="1" ht="25.5" customHeight="1">
      <c r="A9" s="36" t="s">
        <v>107</v>
      </c>
      <c r="B9" s="32">
        <v>5</v>
      </c>
      <c r="C9" s="84"/>
      <c r="D9" s="84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2475.4499999999998</v>
      </c>
      <c r="D11" s="84">
        <v>2786.23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262475.45</v>
      </c>
      <c r="D12" s="84">
        <v>337786.23</v>
      </c>
    </row>
    <row r="13" spans="1:7" s="25" customFormat="1" ht="25.5" customHeight="1">
      <c r="A13" s="33" t="s">
        <v>111</v>
      </c>
      <c r="B13" s="32">
        <v>9</v>
      </c>
      <c r="C13" s="91"/>
      <c r="D13" s="91"/>
    </row>
    <row r="14" spans="1:7" s="25" customFormat="1" ht="25.5" customHeight="1">
      <c r="A14" s="33" t="s">
        <v>112</v>
      </c>
      <c r="B14" s="32">
        <v>10</v>
      </c>
      <c r="C14" s="84">
        <v>158963</v>
      </c>
      <c r="D14" s="84">
        <v>154288.5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84">
        <v>9597.35</v>
      </c>
      <c r="D15" s="84">
        <v>2872.2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168560.35</v>
      </c>
      <c r="D18" s="84">
        <v>157160.70000000001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v>93915.1</v>
      </c>
      <c r="D19" s="84">
        <f>D12-D18</f>
        <v>180625.52999999997</v>
      </c>
      <c r="E19" s="88"/>
    </row>
    <row r="20" spans="1:13" s="25" customFormat="1" ht="28.5" customHeight="1">
      <c r="A20" s="37" t="s">
        <v>118</v>
      </c>
      <c r="B20" s="32">
        <v>16</v>
      </c>
      <c r="C20" s="84"/>
      <c r="D20" s="84"/>
      <c r="F20" s="38"/>
      <c r="M20" s="39"/>
    </row>
    <row r="21" spans="1:13" ht="27">
      <c r="A21" s="37" t="s">
        <v>119</v>
      </c>
      <c r="B21" s="32">
        <v>17</v>
      </c>
      <c r="C21" s="89">
        <v>93915.1</v>
      </c>
      <c r="D21" s="89">
        <v>180625.52999999997</v>
      </c>
      <c r="F21" s="85"/>
    </row>
    <row r="22" spans="1:13">
      <c r="D22" s="124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26B7-CE2D-40F4-BA5C-EE30591599E6}">
  <dimension ref="A1:H66"/>
  <sheetViews>
    <sheetView view="pageBreakPreview" topLeftCell="A49" zoomScale="80" zoomScaleNormal="100" zoomScaleSheetLayoutView="80" workbookViewId="0">
      <selection activeCell="A64" sqref="A64:XFD64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43465</v>
      </c>
      <c r="C4" s="54">
        <v>43830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996924.33</v>
      </c>
      <c r="C6" s="61">
        <v>1099901.1299999999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996924.33</v>
      </c>
      <c r="C15" s="58">
        <v>1099901.1299999999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996924.33</v>
      </c>
      <c r="C30" s="58">
        <v>1099901.1299999999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43465</v>
      </c>
      <c r="C36" s="54">
        <f>C4</f>
        <v>43830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102976.79999999993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'2019业务活动表'!D19</f>
        <v>102976.80000000002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72">
        <v>996924.33</v>
      </c>
      <c r="C61" s="72">
        <v>1099901.1299999999</v>
      </c>
      <c r="D61" s="67"/>
      <c r="E61" s="67"/>
    </row>
    <row r="62" spans="1:7" s="44" customFormat="1" ht="24" customHeight="1">
      <c r="A62" s="56" t="s">
        <v>95</v>
      </c>
      <c r="B62" s="60"/>
      <c r="C62" s="60"/>
      <c r="D62" s="67"/>
      <c r="E62" s="80"/>
    </row>
    <row r="63" spans="1:7" s="44" customFormat="1" ht="24" customHeight="1">
      <c r="A63" s="64" t="s">
        <v>96</v>
      </c>
      <c r="B63" s="69">
        <v>996924.33</v>
      </c>
      <c r="C63" s="69">
        <v>1099901.1299999999</v>
      </c>
      <c r="D63" s="74"/>
      <c r="E63" s="59"/>
    </row>
    <row r="64" spans="1:7" s="44" customFormat="1" ht="24" customHeight="1">
      <c r="A64" s="63" t="s">
        <v>97</v>
      </c>
      <c r="B64" s="69">
        <v>996924.33</v>
      </c>
      <c r="C64" s="69">
        <v>1099901.1299999999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BB96-895D-460E-83FF-A7E8D853F20B}">
  <dimension ref="A1:IV65"/>
  <sheetViews>
    <sheetView view="pageBreakPreview" zoomScaleNormal="100" workbookViewId="0">
      <selection activeCell="A64" sqref="A64:XFD64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172</v>
      </c>
      <c r="D4" s="87" t="s">
        <v>173</v>
      </c>
    </row>
    <row r="5" spans="1:7" s="25" customFormat="1" ht="25.5" customHeight="1">
      <c r="A5" s="33" t="s">
        <v>103</v>
      </c>
      <c r="B5" s="32">
        <v>1</v>
      </c>
      <c r="C5" s="83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315000</v>
      </c>
      <c r="D7" s="84">
        <v>290000</v>
      </c>
    </row>
    <row r="8" spans="1:7" s="25" customFormat="1" ht="25.5" customHeight="1">
      <c r="A8" s="36" t="s">
        <v>106</v>
      </c>
      <c r="B8" s="32">
        <v>4</v>
      </c>
      <c r="C8" s="84">
        <v>20000</v>
      </c>
      <c r="D8" s="84">
        <v>20000</v>
      </c>
    </row>
    <row r="9" spans="1:7" s="25" customFormat="1" ht="25.5" customHeight="1">
      <c r="A9" s="36" t="s">
        <v>107</v>
      </c>
      <c r="B9" s="32">
        <v>5</v>
      </c>
      <c r="C9" s="84"/>
      <c r="D9" s="84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2786.23</v>
      </c>
      <c r="D11" s="84">
        <v>3248.65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337786.23</v>
      </c>
      <c r="D12" s="84">
        <v>313248.65000000002</v>
      </c>
    </row>
    <row r="13" spans="1:7" s="25" customFormat="1" ht="25.5" customHeight="1">
      <c r="A13" s="33" t="s">
        <v>111</v>
      </c>
      <c r="B13" s="32">
        <v>9</v>
      </c>
      <c r="C13" s="91"/>
      <c r="D13" s="91"/>
    </row>
    <row r="14" spans="1:7" s="25" customFormat="1" ht="25.5" customHeight="1">
      <c r="A14" s="33" t="s">
        <v>112</v>
      </c>
      <c r="B14" s="32">
        <v>10</v>
      </c>
      <c r="C14" s="84">
        <v>154288.5</v>
      </c>
      <c r="D14" s="84">
        <v>206836.5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84">
        <v>2872.2</v>
      </c>
      <c r="D15" s="84">
        <v>3435.35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157160.70000000001</v>
      </c>
      <c r="D18" s="84">
        <v>210271.85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v>180625.52999999997</v>
      </c>
      <c r="D19" s="84">
        <f>D12-D18</f>
        <v>102976.80000000002</v>
      </c>
      <c r="E19" s="88"/>
    </row>
    <row r="20" spans="1:13" s="25" customFormat="1" ht="28.5" customHeight="1">
      <c r="A20" s="37" t="s">
        <v>118</v>
      </c>
      <c r="B20" s="32">
        <v>16</v>
      </c>
      <c r="C20" s="84"/>
      <c r="D20" s="84"/>
      <c r="F20" s="38"/>
      <c r="M20" s="39"/>
    </row>
    <row r="21" spans="1:13" ht="27">
      <c r="A21" s="37" t="s">
        <v>119</v>
      </c>
      <c r="B21" s="32">
        <v>17</v>
      </c>
      <c r="C21" s="89">
        <v>180625.52999999997</v>
      </c>
      <c r="D21" s="89">
        <v>102976.80000000002</v>
      </c>
      <c r="F21" s="85"/>
    </row>
    <row r="22" spans="1:13">
      <c r="D22" s="124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BE10-F646-436F-8FCB-4F6DB2E6213E}">
  <dimension ref="A1:H66"/>
  <sheetViews>
    <sheetView view="pageBreakPreview" topLeftCell="A51" zoomScale="80" zoomScaleNormal="100" zoomScaleSheetLayoutView="80" workbookViewId="0">
      <selection activeCell="A64" sqref="A64:XFD64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43830</v>
      </c>
      <c r="C4" s="54">
        <v>44196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1099901.1299999999</v>
      </c>
      <c r="C6" s="61">
        <v>1043346.26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1099901.1299999999</v>
      </c>
      <c r="C15" s="58">
        <v>1043346.26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1099901.1299999999</v>
      </c>
      <c r="C30" s="58">
        <v>1043346.26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43830</v>
      </c>
      <c r="C36" s="54">
        <f>C4</f>
        <v>44196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-56554.869999999879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'2020业务活动表'!D19</f>
        <v>-56554.87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1.2369127944111824E-10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72">
        <v>1099901.1299999999</v>
      </c>
      <c r="C61" s="72">
        <v>1043346.26</v>
      </c>
      <c r="D61" s="67"/>
      <c r="E61" s="67"/>
    </row>
    <row r="62" spans="1:7" s="44" customFormat="1" ht="24" customHeight="1">
      <c r="A62" s="56" t="s">
        <v>95</v>
      </c>
      <c r="B62" s="60"/>
      <c r="C62" s="60"/>
      <c r="D62" s="67"/>
      <c r="E62" s="80"/>
    </row>
    <row r="63" spans="1:7" s="44" customFormat="1" ht="24" customHeight="1">
      <c r="A63" s="64" t="s">
        <v>96</v>
      </c>
      <c r="B63" s="69">
        <v>1099901.1299999999</v>
      </c>
      <c r="C63" s="69">
        <v>1043346.26</v>
      </c>
      <c r="D63" s="74"/>
      <c r="E63" s="59"/>
    </row>
    <row r="64" spans="1:7" s="44" customFormat="1" ht="24" customHeight="1">
      <c r="A64" s="63" t="s">
        <v>97</v>
      </c>
      <c r="B64" s="69">
        <v>1099901.1299999999</v>
      </c>
      <c r="C64" s="69">
        <v>1043346.26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0248-7B12-4D89-9650-80EF2E068647}">
  <dimension ref="A1:IV65"/>
  <sheetViews>
    <sheetView view="pageBreakPreview" zoomScaleNormal="100" workbookViewId="0">
      <selection activeCell="K10" sqref="K10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173</v>
      </c>
      <c r="D4" s="87" t="s">
        <v>174</v>
      </c>
    </row>
    <row r="5" spans="1:7" s="25" customFormat="1" ht="25.5" customHeight="1">
      <c r="A5" s="33" t="s">
        <v>103</v>
      </c>
      <c r="B5" s="32">
        <v>1</v>
      </c>
      <c r="C5" s="83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290000</v>
      </c>
      <c r="D7" s="84">
        <v>60000</v>
      </c>
    </row>
    <row r="8" spans="1:7" s="25" customFormat="1" ht="25.5" customHeight="1">
      <c r="A8" s="36" t="s">
        <v>106</v>
      </c>
      <c r="B8" s="32">
        <v>4</v>
      </c>
      <c r="C8" s="84">
        <v>20000</v>
      </c>
      <c r="D8" s="84"/>
    </row>
    <row r="9" spans="1:7" s="25" customFormat="1" ht="25.5" customHeight="1">
      <c r="A9" s="36" t="s">
        <v>107</v>
      </c>
      <c r="B9" s="32">
        <v>5</v>
      </c>
      <c r="C9" s="84"/>
      <c r="D9" s="84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3248.65</v>
      </c>
      <c r="D11" s="84">
        <v>3284.93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313248.65000000002</v>
      </c>
      <c r="D12" s="84">
        <v>63284.93</v>
      </c>
    </row>
    <row r="13" spans="1:7" s="25" customFormat="1" ht="25.5" customHeight="1">
      <c r="A13" s="33" t="s">
        <v>111</v>
      </c>
      <c r="B13" s="32">
        <v>9</v>
      </c>
      <c r="C13" s="91"/>
      <c r="D13" s="91"/>
    </row>
    <row r="14" spans="1:7" s="25" customFormat="1" ht="25.5" customHeight="1">
      <c r="A14" s="33" t="s">
        <v>112</v>
      </c>
      <c r="B14" s="32">
        <v>10</v>
      </c>
      <c r="C14" s="84">
        <v>206836.5</v>
      </c>
      <c r="D14" s="84">
        <v>114700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84">
        <v>3435.35</v>
      </c>
      <c r="D15" s="84">
        <v>5139.8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210271.85</v>
      </c>
      <c r="D18" s="84">
        <v>119839.8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v>102976.80000000002</v>
      </c>
      <c r="D19" s="84">
        <f>D12-D18</f>
        <v>-56554.87</v>
      </c>
      <c r="E19" s="88"/>
    </row>
    <row r="20" spans="1:13" s="25" customFormat="1" ht="28.5" customHeight="1">
      <c r="A20" s="37" t="s">
        <v>118</v>
      </c>
      <c r="B20" s="32">
        <v>16</v>
      </c>
      <c r="C20" s="84"/>
      <c r="D20" s="84"/>
      <c r="F20" s="38"/>
      <c r="M20" s="39"/>
    </row>
    <row r="21" spans="1:13" ht="27">
      <c r="A21" s="37" t="s">
        <v>119</v>
      </c>
      <c r="B21" s="32">
        <v>17</v>
      </c>
      <c r="C21" s="89">
        <v>102976.80000000002</v>
      </c>
      <c r="D21" s="89">
        <v>-56554.87</v>
      </c>
      <c r="F21" s="85"/>
    </row>
    <row r="22" spans="1:13">
      <c r="D22" s="124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DEFD-7E1B-43C3-AFD4-501FDE55346D}">
  <dimension ref="A1:H66"/>
  <sheetViews>
    <sheetView view="pageBreakPreview" topLeftCell="A45" zoomScale="80" zoomScaleNormal="100" zoomScaleSheetLayoutView="80" workbookViewId="0">
      <selection activeCell="A64" sqref="A64:XFD64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44196</v>
      </c>
      <c r="C4" s="54">
        <v>44561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1043346.26</v>
      </c>
      <c r="C6" s="61">
        <v>1365511.7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1043346.26</v>
      </c>
      <c r="C15" s="58">
        <v>1365511.7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1043346.26</v>
      </c>
      <c r="C30" s="58">
        <v>1365511.7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44196</v>
      </c>
      <c r="C36" s="54">
        <f>C4</f>
        <v>44561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322165.43999999994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'2021业务活动表'!D19</f>
        <v>322165.44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69">
        <v>1043346.26</v>
      </c>
      <c r="C61" s="69">
        <v>1365511.7</v>
      </c>
      <c r="D61" s="67"/>
      <c r="E61" s="67"/>
    </row>
    <row r="62" spans="1:7" s="44" customFormat="1" ht="24" customHeight="1">
      <c r="A62" s="56" t="s">
        <v>95</v>
      </c>
      <c r="B62" s="60"/>
      <c r="C62" s="60"/>
      <c r="D62" s="67"/>
      <c r="E62" s="80"/>
    </row>
    <row r="63" spans="1:7" s="44" customFormat="1" ht="24" customHeight="1">
      <c r="A63" s="64" t="s">
        <v>96</v>
      </c>
      <c r="B63" s="69">
        <v>1043346.26</v>
      </c>
      <c r="C63" s="69">
        <v>1365511.7</v>
      </c>
      <c r="D63" s="74"/>
      <c r="E63" s="59"/>
    </row>
    <row r="64" spans="1:7" s="44" customFormat="1" ht="24" customHeight="1">
      <c r="A64" s="63" t="s">
        <v>97</v>
      </c>
      <c r="B64" s="69">
        <v>1043346.26</v>
      </c>
      <c r="C64" s="69">
        <v>1365511.7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4609-B6D9-4CB4-A5E7-7680821E19CF}">
  <dimension ref="A1:IV65"/>
  <sheetViews>
    <sheetView view="pageBreakPreview" zoomScaleNormal="100" workbookViewId="0">
      <selection activeCell="A64" sqref="A64:XFD64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174</v>
      </c>
      <c r="D4" s="87" t="s">
        <v>175</v>
      </c>
    </row>
    <row r="5" spans="1:7" s="25" customFormat="1" ht="25.5" customHeight="1">
      <c r="A5" s="33" t="s">
        <v>103</v>
      </c>
      <c r="B5" s="32">
        <v>1</v>
      </c>
      <c r="C5" s="83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60000</v>
      </c>
      <c r="D7" s="84">
        <v>370000</v>
      </c>
    </row>
    <row r="8" spans="1:7" s="25" customFormat="1" ht="25.5" customHeight="1">
      <c r="A8" s="36" t="s">
        <v>106</v>
      </c>
      <c r="B8" s="32">
        <v>4</v>
      </c>
      <c r="C8" s="84"/>
      <c r="D8" s="84"/>
    </row>
    <row r="9" spans="1:7" s="25" customFormat="1" ht="25.5" customHeight="1">
      <c r="A9" s="36" t="s">
        <v>107</v>
      </c>
      <c r="B9" s="32">
        <v>5</v>
      </c>
      <c r="C9" s="84"/>
      <c r="D9" s="84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3284.93</v>
      </c>
      <c r="D11" s="84">
        <v>3288.44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63284.93</v>
      </c>
      <c r="D12" s="84">
        <v>373288.44</v>
      </c>
    </row>
    <row r="13" spans="1:7" s="25" customFormat="1" ht="25.5" customHeight="1">
      <c r="A13" s="33" t="s">
        <v>111</v>
      </c>
      <c r="B13" s="32">
        <v>9</v>
      </c>
      <c r="C13" s="91"/>
      <c r="D13" s="91"/>
    </row>
    <row r="14" spans="1:7" s="25" customFormat="1" ht="25.5" customHeight="1">
      <c r="A14" s="33" t="s">
        <v>112</v>
      </c>
      <c r="B14" s="32">
        <v>10</v>
      </c>
      <c r="C14" s="84">
        <v>114700</v>
      </c>
      <c r="D14" s="84">
        <v>43859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84">
        <v>5139.8</v>
      </c>
      <c r="D15" s="84">
        <v>7264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119839.8</v>
      </c>
      <c r="D18" s="84">
        <v>51123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v>-56554.87</v>
      </c>
      <c r="D19" s="84">
        <f>D12-D18</f>
        <v>322165.44</v>
      </c>
      <c r="E19" s="88"/>
    </row>
    <row r="20" spans="1:13" s="25" customFormat="1" ht="28.5" customHeight="1">
      <c r="A20" s="37" t="s">
        <v>118</v>
      </c>
      <c r="B20" s="32">
        <v>16</v>
      </c>
      <c r="C20" s="84"/>
      <c r="D20" s="84"/>
      <c r="F20" s="38"/>
      <c r="M20" s="39"/>
    </row>
    <row r="21" spans="1:13" ht="27">
      <c r="A21" s="37" t="s">
        <v>119</v>
      </c>
      <c r="B21" s="32">
        <v>17</v>
      </c>
      <c r="C21" s="89">
        <v>-56554.87</v>
      </c>
      <c r="D21" s="89">
        <v>322165.44</v>
      </c>
      <c r="F21" s="85"/>
    </row>
    <row r="22" spans="1:13">
      <c r="D22" s="124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FE8F-664D-4E95-BDF3-E33023522A14}">
  <dimension ref="A1:H66"/>
  <sheetViews>
    <sheetView view="pageBreakPreview" topLeftCell="A52" zoomScale="80" zoomScaleNormal="100" zoomScaleSheetLayoutView="80" workbookViewId="0">
      <selection activeCell="A64" sqref="A64:XFD64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f>#REF!</f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44561</v>
      </c>
      <c r="C4" s="54">
        <v>44926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1365511.7</v>
      </c>
      <c r="C6" s="61">
        <v>1359033.91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1365511.7</v>
      </c>
      <c r="C15" s="58">
        <v>1359033.91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1365511.7</v>
      </c>
      <c r="C30" s="58">
        <v>1359033.91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44561</v>
      </c>
      <c r="C36" s="54">
        <f>C4</f>
        <v>44926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-6477.7900000000373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'2022业务活动表'!D19</f>
        <v>-6477.7899999999936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-4.3655745685100555E-11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69">
        <v>1365511.7</v>
      </c>
      <c r="C61" s="69">
        <v>1359033.91</v>
      </c>
      <c r="D61" s="67"/>
      <c r="E61" s="67"/>
    </row>
    <row r="62" spans="1:7" s="44" customFormat="1" ht="24" customHeight="1">
      <c r="A62" s="56" t="s">
        <v>95</v>
      </c>
      <c r="B62" s="60"/>
      <c r="C62" s="60"/>
      <c r="D62" s="67"/>
      <c r="E62" s="80"/>
    </row>
    <row r="63" spans="1:7" s="44" customFormat="1" ht="24" customHeight="1">
      <c r="A63" s="64" t="s">
        <v>96</v>
      </c>
      <c r="B63" s="69">
        <v>1365511.7</v>
      </c>
      <c r="C63" s="69">
        <v>1359033.91</v>
      </c>
      <c r="D63" s="74"/>
      <c r="E63" s="59"/>
    </row>
    <row r="64" spans="1:7" s="44" customFormat="1" ht="24" customHeight="1">
      <c r="A64" s="63" t="s">
        <v>97</v>
      </c>
      <c r="B64" s="69">
        <v>1365511.7</v>
      </c>
      <c r="C64" s="69">
        <v>1359033.91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4BF6-EEB5-4DD5-8C77-9F0455314F74}">
  <dimension ref="A1:IV65"/>
  <sheetViews>
    <sheetView view="pageBreakPreview" zoomScale="85" zoomScaleNormal="100" zoomScaleSheetLayoutView="85" workbookViewId="0">
      <selection activeCell="A64" sqref="A64:XFD64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175</v>
      </c>
      <c r="D4" s="87" t="s">
        <v>176</v>
      </c>
    </row>
    <row r="5" spans="1:7" s="25" customFormat="1" ht="25.5" customHeight="1">
      <c r="A5" s="33" t="s">
        <v>103</v>
      </c>
      <c r="B5" s="32">
        <v>1</v>
      </c>
      <c r="C5" s="83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370000</v>
      </c>
      <c r="D7" s="84">
        <v>125000</v>
      </c>
    </row>
    <row r="8" spans="1:7" s="25" customFormat="1" ht="25.5" customHeight="1">
      <c r="A8" s="36" t="s">
        <v>106</v>
      </c>
      <c r="B8" s="32">
        <v>4</v>
      </c>
      <c r="C8" s="84"/>
      <c r="D8" s="84"/>
    </row>
    <row r="9" spans="1:7" s="25" customFormat="1" ht="25.5" customHeight="1">
      <c r="A9" s="36" t="s">
        <v>107</v>
      </c>
      <c r="B9" s="32">
        <v>5</v>
      </c>
      <c r="C9" s="84"/>
      <c r="D9" s="84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3288.44</v>
      </c>
      <c r="D11" s="84">
        <v>3875.21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f>C11+C7</f>
        <v>373288.44</v>
      </c>
      <c r="D12" s="84">
        <v>128875.21</v>
      </c>
    </row>
    <row r="13" spans="1:7" s="25" customFormat="1" ht="25.5" customHeight="1">
      <c r="A13" s="33" t="s">
        <v>111</v>
      </c>
      <c r="B13" s="32">
        <v>9</v>
      </c>
      <c r="C13" s="91"/>
      <c r="D13" s="91"/>
    </row>
    <row r="14" spans="1:7" s="25" customFormat="1" ht="25.5" customHeight="1">
      <c r="A14" s="33" t="s">
        <v>112</v>
      </c>
      <c r="B14" s="32">
        <v>10</v>
      </c>
      <c r="C14" s="84">
        <v>43859</v>
      </c>
      <c r="D14" s="84">
        <v>91745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84">
        <v>7264</v>
      </c>
      <c r="D15" s="84">
        <v>43608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51123</v>
      </c>
      <c r="D18" s="84">
        <v>135353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f>C12-C18</f>
        <v>322165.44</v>
      </c>
      <c r="D19" s="84">
        <f>D12-D18</f>
        <v>-6477.7899999999936</v>
      </c>
      <c r="E19" s="88"/>
    </row>
    <row r="20" spans="1:13" s="25" customFormat="1" ht="28.5" customHeight="1">
      <c r="A20" s="37" t="s">
        <v>118</v>
      </c>
      <c r="B20" s="32">
        <v>16</v>
      </c>
      <c r="C20" s="84"/>
      <c r="D20" s="84"/>
      <c r="F20" s="38"/>
      <c r="M20" s="39"/>
    </row>
    <row r="21" spans="1:13" ht="27">
      <c r="A21" s="37" t="s">
        <v>119</v>
      </c>
      <c r="B21" s="32">
        <v>17</v>
      </c>
      <c r="C21" s="89">
        <f>C19</f>
        <v>322165.44</v>
      </c>
      <c r="D21" s="89">
        <f>D19</f>
        <v>-6477.7899999999936</v>
      </c>
      <c r="F21" s="85"/>
    </row>
    <row r="22" spans="1:13">
      <c r="D22" s="124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601-56DC-4691-A6EC-11422ED8F1E3}">
  <dimension ref="A1:H66"/>
  <sheetViews>
    <sheetView view="pageBreakPreview" zoomScale="80" zoomScaleNormal="100" zoomScaleSheetLayoutView="80" workbookViewId="0">
      <selection activeCell="A64" sqref="A64:XFD64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44926</v>
      </c>
      <c r="C4" s="54">
        <v>45291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1359033.91</v>
      </c>
      <c r="C6" s="61">
        <v>1258436.1000000001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1359033.91</v>
      </c>
      <c r="C15" s="58">
        <v>1258436.1000000001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1359033.91</v>
      </c>
      <c r="C30" s="58">
        <v>1258436.1000000001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44926</v>
      </c>
      <c r="C36" s="54">
        <f>C4</f>
        <v>45291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-100597.80999999982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'2023业务活动表'!D19</f>
        <v>-100597.81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1.7462298274040222E-10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69">
        <v>1359033.91</v>
      </c>
      <c r="C61" s="69">
        <v>1258436.1000000001</v>
      </c>
      <c r="D61" s="67"/>
      <c r="E61" s="67"/>
    </row>
    <row r="62" spans="1:7" s="44" customFormat="1" ht="24" customHeight="1">
      <c r="A62" s="56" t="s">
        <v>95</v>
      </c>
      <c r="B62" s="60"/>
      <c r="C62" s="60"/>
      <c r="D62" s="67"/>
      <c r="E62" s="80"/>
    </row>
    <row r="63" spans="1:7" s="44" customFormat="1" ht="24" customHeight="1">
      <c r="A63" s="64" t="s">
        <v>96</v>
      </c>
      <c r="B63" s="69">
        <v>1359033.91</v>
      </c>
      <c r="C63" s="69">
        <v>1258436.1000000001</v>
      </c>
      <c r="D63" s="74"/>
      <c r="E63" s="59"/>
    </row>
    <row r="64" spans="1:7" s="44" customFormat="1" ht="24" customHeight="1">
      <c r="A64" s="63" t="s">
        <v>97</v>
      </c>
      <c r="B64" s="69">
        <v>1359033.91</v>
      </c>
      <c r="C64" s="69">
        <v>1258436.1000000001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8F1F-DF08-4C90-9D51-9D9D8579FF75}">
  <dimension ref="A1:IV65"/>
  <sheetViews>
    <sheetView view="pageBreakPreview" zoomScale="85" zoomScaleNormal="100" zoomScaleSheetLayoutView="85" workbookViewId="0">
      <selection activeCell="A64" sqref="A64:XFD64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f>'2024资产负债表 '!A3</f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176</v>
      </c>
      <c r="D4" s="87" t="s">
        <v>177</v>
      </c>
    </row>
    <row r="5" spans="1:7" s="25" customFormat="1" ht="25.5" customHeight="1">
      <c r="A5" s="33" t="s">
        <v>103</v>
      </c>
      <c r="B5" s="32">
        <v>1</v>
      </c>
      <c r="C5" s="83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125000</v>
      </c>
      <c r="D7" s="84">
        <v>135000</v>
      </c>
    </row>
    <row r="8" spans="1:7" s="25" customFormat="1" ht="25.5" customHeight="1">
      <c r="A8" s="36" t="s">
        <v>106</v>
      </c>
      <c r="B8" s="32">
        <v>4</v>
      </c>
      <c r="C8" s="84"/>
      <c r="D8" s="84"/>
    </row>
    <row r="9" spans="1:7" s="25" customFormat="1" ht="25.5" customHeight="1">
      <c r="A9" s="36" t="s">
        <v>107</v>
      </c>
      <c r="B9" s="32">
        <v>5</v>
      </c>
      <c r="C9" s="84"/>
      <c r="D9" s="84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3875.21</v>
      </c>
      <c r="D11" s="84">
        <v>3012.03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128875.21</v>
      </c>
      <c r="D12" s="84">
        <v>138012.03</v>
      </c>
    </row>
    <row r="13" spans="1:7" s="25" customFormat="1" ht="25.5" customHeight="1">
      <c r="A13" s="33" t="s">
        <v>111</v>
      </c>
      <c r="B13" s="32">
        <v>9</v>
      </c>
      <c r="C13" s="91"/>
      <c r="D13" s="91"/>
    </row>
    <row r="14" spans="1:7" s="25" customFormat="1" ht="25.5" customHeight="1">
      <c r="A14" s="33" t="s">
        <v>112</v>
      </c>
      <c r="B14" s="32">
        <v>10</v>
      </c>
      <c r="C14" s="84">
        <v>91745</v>
      </c>
      <c r="D14" s="84">
        <v>194332.5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84">
        <v>43608</v>
      </c>
      <c r="D15" s="84">
        <v>44277.34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135353</v>
      </c>
      <c r="D18" s="84">
        <v>238609.84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v>-6477.7899999999936</v>
      </c>
      <c r="D19" s="84">
        <f>D12-D18</f>
        <v>-100597.81</v>
      </c>
      <c r="E19" s="88"/>
    </row>
    <row r="20" spans="1:13" s="25" customFormat="1" ht="28.5" customHeight="1">
      <c r="A20" s="37" t="s">
        <v>118</v>
      </c>
      <c r="B20" s="32">
        <v>16</v>
      </c>
      <c r="C20" s="84"/>
      <c r="D20" s="84"/>
      <c r="F20" s="38"/>
      <c r="M20" s="39"/>
    </row>
    <row r="21" spans="1:13" ht="27">
      <c r="A21" s="37" t="s">
        <v>119</v>
      </c>
      <c r="B21" s="32">
        <v>17</v>
      </c>
      <c r="C21" s="89">
        <v>-6477.7899999999936</v>
      </c>
      <c r="D21" s="89">
        <v>-100597.81</v>
      </c>
      <c r="F21" s="85"/>
    </row>
    <row r="22" spans="1:13">
      <c r="D22" s="124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6"/>
  <sheetViews>
    <sheetView view="pageBreakPreview" topLeftCell="A49" zoomScale="70" zoomScaleNormal="100" zoomScaleSheetLayoutView="70" workbookViewId="0">
      <selection activeCell="A64" sqref="A64:XFD64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45291</v>
      </c>
      <c r="C4" s="54">
        <v>45657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1258436.1000000001</v>
      </c>
      <c r="C6" s="61">
        <v>1247776.43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1258436.1000000001</v>
      </c>
      <c r="C15" s="58">
        <v>1247776.43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1258436.1000000001</v>
      </c>
      <c r="C30" s="58">
        <v>1247776.43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v>45291</v>
      </c>
      <c r="C36" s="54">
        <v>45657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-10659.670000000158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'2024业务活动表'!D19</f>
        <v>-10659.669999999984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-1.7462298274040222E-10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72">
        <v>1258436.1000000001</v>
      </c>
      <c r="C61" s="73">
        <v>1247776.43</v>
      </c>
      <c r="D61" s="67"/>
      <c r="E61" s="67"/>
    </row>
    <row r="62" spans="1:7" s="44" customFormat="1" ht="24" customHeight="1">
      <c r="A62" s="56" t="s">
        <v>95</v>
      </c>
      <c r="B62" s="69"/>
      <c r="C62" s="60"/>
      <c r="D62" s="67"/>
      <c r="E62" s="80"/>
    </row>
    <row r="63" spans="1:7" s="44" customFormat="1" ht="24" customHeight="1">
      <c r="A63" s="64" t="s">
        <v>96</v>
      </c>
      <c r="B63" s="69">
        <v>1258436.1000000001</v>
      </c>
      <c r="C63" s="60">
        <v>1247776.43</v>
      </c>
      <c r="D63" s="74"/>
      <c r="E63" s="59"/>
    </row>
    <row r="64" spans="1:7" s="44" customFormat="1" ht="24" customHeight="1">
      <c r="A64" s="63" t="s">
        <v>97</v>
      </c>
      <c r="B64" s="69">
        <v>1258436.1000000001</v>
      </c>
      <c r="C64" s="60">
        <v>1247776.43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65"/>
  <sheetViews>
    <sheetView view="pageBreakPreview" zoomScale="85" zoomScaleNormal="100" zoomScaleSheetLayoutView="85" workbookViewId="0">
      <selection activeCell="A64" sqref="A64:XFD64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120</v>
      </c>
      <c r="D4" s="87" t="s">
        <v>102</v>
      </c>
    </row>
    <row r="5" spans="1:7" s="25" customFormat="1" ht="25.5" customHeight="1">
      <c r="A5" s="33" t="s">
        <v>103</v>
      </c>
      <c r="B5" s="32">
        <v>1</v>
      </c>
      <c r="C5" s="34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135000</v>
      </c>
      <c r="D7" s="84">
        <v>275000</v>
      </c>
    </row>
    <row r="8" spans="1:7" s="25" customFormat="1" ht="25.5" customHeight="1">
      <c r="A8" s="36" t="s">
        <v>106</v>
      </c>
      <c r="B8" s="32">
        <v>4</v>
      </c>
      <c r="C8" s="84"/>
      <c r="D8" s="84"/>
    </row>
    <row r="9" spans="1:7" s="25" customFormat="1" ht="25.5" customHeight="1">
      <c r="A9" s="36" t="s">
        <v>107</v>
      </c>
      <c r="B9" s="32">
        <v>5</v>
      </c>
      <c r="C9" s="84"/>
      <c r="D9" s="35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3012.03</v>
      </c>
      <c r="D11" s="84">
        <v>2209.63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138012.03</v>
      </c>
      <c r="D12" s="84">
        <v>277209.63</v>
      </c>
    </row>
    <row r="13" spans="1:7" s="25" customFormat="1" ht="25.5" customHeight="1">
      <c r="A13" s="33" t="s">
        <v>111</v>
      </c>
      <c r="B13" s="32">
        <v>9</v>
      </c>
      <c r="C13" s="91"/>
      <c r="D13" s="89"/>
    </row>
    <row r="14" spans="1:7" s="25" customFormat="1" ht="25.5" customHeight="1">
      <c r="A14" s="33" t="s">
        <v>112</v>
      </c>
      <c r="B14" s="32">
        <v>10</v>
      </c>
      <c r="C14" s="84">
        <v>194332.5</v>
      </c>
      <c r="D14" s="125">
        <v>243684.8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84">
        <v>44277.34</v>
      </c>
      <c r="D15" s="126">
        <v>44184.5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238609.84</v>
      </c>
      <c r="D18" s="84">
        <v>287869.3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v>-100597.81</v>
      </c>
      <c r="D19" s="84">
        <f>D12-D18</f>
        <v>-10659.669999999984</v>
      </c>
      <c r="E19" s="88"/>
    </row>
    <row r="20" spans="1:13" s="25" customFormat="1" ht="28.5" customHeight="1">
      <c r="A20" s="37" t="s">
        <v>118</v>
      </c>
      <c r="B20" s="32">
        <v>16</v>
      </c>
      <c r="C20" s="84"/>
      <c r="D20" s="91"/>
      <c r="F20" s="38"/>
      <c r="M20" s="39"/>
    </row>
    <row r="21" spans="1:13" ht="27">
      <c r="A21" s="37" t="s">
        <v>119</v>
      </c>
      <c r="B21" s="32">
        <v>17</v>
      </c>
      <c r="C21" s="89">
        <v>-100597.81</v>
      </c>
      <c r="D21" s="89">
        <v>-10659.669999999984</v>
      </c>
      <c r="F21" s="85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5F-5981-4F90-99CA-1959FE470540}">
  <dimension ref="A1:H66"/>
  <sheetViews>
    <sheetView view="pageBreakPreview" topLeftCell="C49" zoomScaleNormal="100" workbookViewId="0">
      <selection activeCell="I60" sqref="I60"/>
    </sheetView>
  </sheetViews>
  <sheetFormatPr defaultColWidth="9" defaultRowHeight="15.75"/>
  <cols>
    <col min="1" max="1" width="47.125" style="45" customWidth="1"/>
    <col min="2" max="2" width="21.5" style="46" customWidth="1"/>
    <col min="3" max="3" width="21.5" style="47" customWidth="1"/>
    <col min="4" max="4" width="21.875" style="48" customWidth="1"/>
    <col min="5" max="5" width="36.625" style="48" customWidth="1"/>
    <col min="6" max="7" width="20.375" style="45" customWidth="1"/>
    <col min="8" max="8" width="9.125" style="45" customWidth="1"/>
    <col min="9" max="16384" width="9" style="45"/>
  </cols>
  <sheetData>
    <row r="1" spans="1:5" s="40" customFormat="1" ht="35.1" customHeight="1">
      <c r="A1" s="132" t="s">
        <v>29</v>
      </c>
      <c r="B1" s="132"/>
      <c r="C1" s="132"/>
      <c r="D1" s="49"/>
      <c r="E1" s="49"/>
    </row>
    <row r="2" spans="1:5" s="41" customFormat="1" ht="20.100000000000001" customHeight="1">
      <c r="C2" s="50" t="s">
        <v>30</v>
      </c>
      <c r="D2" s="51"/>
      <c r="E2" s="51"/>
    </row>
    <row r="3" spans="1:5" s="41" customFormat="1" ht="20.100000000000001" customHeight="1">
      <c r="A3" s="52" t="e">
        <v>#REF!</v>
      </c>
      <c r="C3" s="31" t="s">
        <v>31</v>
      </c>
      <c r="D3" s="51"/>
      <c r="E3" s="51"/>
    </row>
    <row r="4" spans="1:5" s="42" customFormat="1" ht="30" customHeight="1">
      <c r="A4" s="53" t="s">
        <v>32</v>
      </c>
      <c r="B4" s="54">
        <v>45657</v>
      </c>
      <c r="C4" s="54">
        <v>45747</v>
      </c>
      <c r="D4" s="55"/>
      <c r="E4" s="55"/>
    </row>
    <row r="5" spans="1:5" s="43" customFormat="1" ht="24.95" customHeight="1">
      <c r="A5" s="56" t="s">
        <v>33</v>
      </c>
      <c r="B5" s="57"/>
      <c r="C5" s="58"/>
      <c r="D5" s="59"/>
      <c r="E5" s="59"/>
    </row>
    <row r="6" spans="1:5" s="43" customFormat="1" ht="24.95" customHeight="1">
      <c r="A6" s="56" t="s">
        <v>34</v>
      </c>
      <c r="B6" s="61">
        <v>1247776.43</v>
      </c>
      <c r="C6" s="127">
        <v>1113196.55</v>
      </c>
      <c r="E6" s="59"/>
    </row>
    <row r="7" spans="1:5" s="43" customFormat="1" ht="24.95" customHeight="1">
      <c r="A7" s="56" t="s">
        <v>35</v>
      </c>
      <c r="B7" s="61"/>
      <c r="C7" s="61"/>
      <c r="D7" s="62"/>
      <c r="E7" s="59"/>
    </row>
    <row r="8" spans="1:5" s="43" customFormat="1" ht="24.95" customHeight="1">
      <c r="A8" s="56" t="s">
        <v>36</v>
      </c>
      <c r="B8" s="61"/>
      <c r="C8" s="61"/>
      <c r="E8" s="59"/>
    </row>
    <row r="9" spans="1:5" s="43" customFormat="1" ht="24.95" customHeight="1">
      <c r="A9" s="56" t="s">
        <v>37</v>
      </c>
      <c r="B9" s="61"/>
      <c r="C9" s="61"/>
      <c r="D9" s="59"/>
      <c r="E9" s="59"/>
    </row>
    <row r="10" spans="1:5" s="43" customFormat="1" ht="24.95" customHeight="1">
      <c r="A10" s="56" t="s">
        <v>38</v>
      </c>
      <c r="B10" s="61"/>
      <c r="C10" s="61"/>
      <c r="D10" s="59"/>
      <c r="E10" s="59"/>
    </row>
    <row r="11" spans="1:5" s="43" customFormat="1" ht="24.95" customHeight="1">
      <c r="A11" s="56" t="s">
        <v>39</v>
      </c>
      <c r="B11" s="58"/>
      <c r="C11" s="58"/>
      <c r="D11" s="59"/>
      <c r="E11" s="59"/>
    </row>
    <row r="12" spans="1:5" s="43" customFormat="1" ht="24.95" customHeight="1">
      <c r="A12" s="56" t="s">
        <v>40</v>
      </c>
      <c r="B12" s="58"/>
      <c r="C12" s="58"/>
      <c r="D12" s="59"/>
      <c r="E12" s="59"/>
    </row>
    <row r="13" spans="1:5" s="43" customFormat="1" ht="24.95" customHeight="1">
      <c r="A13" s="63" t="s">
        <v>41</v>
      </c>
      <c r="B13" s="58"/>
      <c r="C13" s="58"/>
      <c r="D13" s="59"/>
      <c r="E13" s="59"/>
    </row>
    <row r="14" spans="1:5" s="43" customFormat="1" ht="24.95" customHeight="1">
      <c r="A14" s="56" t="s">
        <v>42</v>
      </c>
      <c r="B14" s="58"/>
      <c r="C14" s="58"/>
      <c r="D14" s="59"/>
      <c r="E14" s="59"/>
    </row>
    <row r="15" spans="1:5" s="43" customFormat="1" ht="24.95" customHeight="1">
      <c r="A15" s="56" t="s">
        <v>43</v>
      </c>
      <c r="B15" s="58">
        <v>1247776.43</v>
      </c>
      <c r="C15" s="58">
        <v>1113196.55</v>
      </c>
      <c r="D15" s="59"/>
      <c r="E15" s="59"/>
    </row>
    <row r="16" spans="1:5" s="43" customFormat="1" ht="24.95" customHeight="1">
      <c r="A16" s="56" t="s">
        <v>44</v>
      </c>
      <c r="B16" s="58"/>
      <c r="C16" s="58"/>
      <c r="D16" s="59"/>
      <c r="E16" s="59"/>
    </row>
    <row r="17" spans="1:5" s="43" customFormat="1" ht="24.95" customHeight="1">
      <c r="A17" s="56" t="s">
        <v>45</v>
      </c>
      <c r="B17" s="58"/>
      <c r="C17" s="58"/>
      <c r="D17" s="59"/>
      <c r="E17" s="59"/>
    </row>
    <row r="18" spans="1:5" s="43" customFormat="1" ht="24.95" customHeight="1">
      <c r="A18" s="56" t="s">
        <v>46</v>
      </c>
      <c r="B18" s="58"/>
      <c r="C18" s="58"/>
      <c r="D18" s="59"/>
      <c r="E18" s="59"/>
    </row>
    <row r="19" spans="1:5" s="43" customFormat="1" ht="24.95" customHeight="1">
      <c r="A19" s="56" t="s">
        <v>47</v>
      </c>
      <c r="B19" s="58"/>
      <c r="C19" s="58"/>
      <c r="D19" s="59"/>
      <c r="E19" s="59"/>
    </row>
    <row r="20" spans="1:5" s="43" customFormat="1" ht="24.95" customHeight="1">
      <c r="A20" s="56" t="s">
        <v>48</v>
      </c>
      <c r="B20" s="61"/>
      <c r="C20" s="61"/>
      <c r="D20" s="59"/>
      <c r="E20" s="59"/>
    </row>
    <row r="21" spans="1:5" s="43" customFormat="1" ht="24.95" customHeight="1">
      <c r="A21" s="128" t="s">
        <v>49</v>
      </c>
      <c r="B21" s="61"/>
      <c r="C21" s="61"/>
      <c r="D21" s="59"/>
      <c r="E21" s="59"/>
    </row>
    <row r="22" spans="1:5" s="43" customFormat="1" ht="24.95" customHeight="1">
      <c r="A22" s="128" t="s">
        <v>50</v>
      </c>
      <c r="B22" s="57"/>
      <c r="C22" s="57"/>
      <c r="D22" s="59"/>
      <c r="E22" s="59"/>
    </row>
    <row r="23" spans="1:5" s="43" customFormat="1" ht="24.95" customHeight="1">
      <c r="A23" s="56" t="s">
        <v>51</v>
      </c>
      <c r="B23" s="58"/>
      <c r="C23" s="58"/>
      <c r="D23" s="59"/>
      <c r="E23" s="59"/>
    </row>
    <row r="24" spans="1:5" s="43" customFormat="1" ht="24.95" customHeight="1">
      <c r="A24" s="128" t="s">
        <v>52</v>
      </c>
      <c r="B24" s="58"/>
      <c r="C24" s="58"/>
      <c r="D24" s="59"/>
      <c r="E24" s="59"/>
    </row>
    <row r="25" spans="1:5" s="43" customFormat="1" ht="24.95" customHeight="1">
      <c r="A25" s="56" t="s">
        <v>53</v>
      </c>
      <c r="B25" s="58"/>
      <c r="C25" s="58"/>
      <c r="D25" s="59"/>
      <c r="E25" s="59" t="s">
        <v>54</v>
      </c>
    </row>
    <row r="26" spans="1:5" s="43" customFormat="1" ht="24.95" customHeight="1">
      <c r="A26" s="56" t="s">
        <v>55</v>
      </c>
      <c r="B26" s="57"/>
      <c r="C26" s="57"/>
      <c r="D26" s="59"/>
      <c r="E26" s="59"/>
    </row>
    <row r="27" spans="1:5" s="43" customFormat="1" ht="24.95" customHeight="1">
      <c r="A27" s="56" t="s">
        <v>56</v>
      </c>
      <c r="B27" s="58"/>
      <c r="C27" s="58"/>
      <c r="D27" s="59"/>
      <c r="E27" s="59"/>
    </row>
    <row r="28" spans="1:5" s="43" customFormat="1" ht="24.95" customHeight="1">
      <c r="A28" s="128" t="s">
        <v>57</v>
      </c>
      <c r="B28" s="58"/>
      <c r="C28" s="58"/>
      <c r="D28" s="59"/>
      <c r="E28" s="59"/>
    </row>
    <row r="29" spans="1:5" s="43" customFormat="1" ht="24.95" customHeight="1">
      <c r="A29" s="129" t="s">
        <v>58</v>
      </c>
      <c r="B29" s="58"/>
      <c r="C29" s="58"/>
      <c r="D29" s="59"/>
      <c r="E29" s="59"/>
    </row>
    <row r="30" spans="1:5" s="43" customFormat="1" ht="24.95" customHeight="1">
      <c r="A30" s="64" t="s">
        <v>59</v>
      </c>
      <c r="B30" s="58">
        <v>1247776.43</v>
      </c>
      <c r="C30" s="58">
        <v>1113196.55</v>
      </c>
      <c r="D30" s="59"/>
      <c r="E30" s="59"/>
    </row>
    <row r="31" spans="1:5" s="44" customFormat="1" ht="24" customHeight="1">
      <c r="A31" s="41"/>
      <c r="B31" s="65"/>
      <c r="C31" s="66"/>
      <c r="D31" s="67"/>
      <c r="E31" s="67"/>
    </row>
    <row r="32" spans="1:5" s="44" customFormat="1" ht="20.100000000000001" customHeight="1">
      <c r="A32" s="133" t="s">
        <v>60</v>
      </c>
      <c r="B32" s="134"/>
      <c r="C32" s="134"/>
      <c r="D32" s="67"/>
      <c r="E32" s="67"/>
    </row>
    <row r="33" spans="1:5" s="44" customFormat="1" ht="35.1" customHeight="1">
      <c r="A33" s="132" t="s">
        <v>61</v>
      </c>
      <c r="B33" s="132"/>
      <c r="C33" s="132"/>
      <c r="D33" s="67"/>
      <c r="E33" s="67"/>
    </row>
    <row r="34" spans="1:5" s="44" customFormat="1" ht="20.100000000000001" customHeight="1">
      <c r="A34" s="41"/>
      <c r="B34" s="41"/>
      <c r="C34" s="68" t="s">
        <v>62</v>
      </c>
      <c r="D34" s="67"/>
      <c r="E34" s="67"/>
    </row>
    <row r="35" spans="1:5" s="44" customFormat="1" ht="20.100000000000001" customHeight="1">
      <c r="A35" s="41" t="e">
        <f>A3</f>
        <v>#REF!</v>
      </c>
      <c r="B35" s="41"/>
      <c r="C35" s="30" t="s">
        <v>31</v>
      </c>
      <c r="D35" s="67"/>
      <c r="E35" s="67"/>
    </row>
    <row r="36" spans="1:5" s="44" customFormat="1" ht="30" customHeight="1">
      <c r="A36" s="53" t="s">
        <v>63</v>
      </c>
      <c r="B36" s="54">
        <f>B4</f>
        <v>45657</v>
      </c>
      <c r="C36" s="54">
        <f>C4</f>
        <v>45747</v>
      </c>
      <c r="D36" s="67"/>
      <c r="E36" s="67"/>
    </row>
    <row r="37" spans="1:5" s="44" customFormat="1" ht="24" customHeight="1">
      <c r="A37" s="56" t="s">
        <v>64</v>
      </c>
      <c r="B37" s="69"/>
      <c r="C37" s="69"/>
      <c r="D37" s="67"/>
      <c r="E37" s="67"/>
    </row>
    <row r="38" spans="1:5" s="44" customFormat="1" ht="24" customHeight="1">
      <c r="A38" s="64" t="s">
        <v>65</v>
      </c>
      <c r="B38" s="69"/>
      <c r="C38" s="69"/>
      <c r="D38" s="67"/>
      <c r="E38" s="67"/>
    </row>
    <row r="39" spans="1:5" s="44" customFormat="1" ht="24" customHeight="1">
      <c r="A39" s="70" t="s">
        <v>66</v>
      </c>
      <c r="B39" s="92"/>
      <c r="C39" s="61"/>
      <c r="D39" s="67"/>
      <c r="E39" s="67"/>
    </row>
    <row r="40" spans="1:5" s="44" customFormat="1" ht="24" customHeight="1">
      <c r="A40" s="64" t="s">
        <v>67</v>
      </c>
      <c r="B40" s="61"/>
      <c r="C40" s="71"/>
      <c r="D40" s="67"/>
      <c r="E40" s="67"/>
    </row>
    <row r="41" spans="1:5" s="44" customFormat="1" ht="24" customHeight="1">
      <c r="A41" s="64" t="s">
        <v>68</v>
      </c>
      <c r="B41" s="61"/>
      <c r="C41" s="61"/>
      <c r="D41" s="67"/>
      <c r="E41" s="67"/>
    </row>
    <row r="42" spans="1:5" s="44" customFormat="1" ht="24" customHeight="1">
      <c r="A42" s="64" t="s">
        <v>69</v>
      </c>
      <c r="B42" s="61"/>
      <c r="C42" s="61"/>
      <c r="D42" s="67"/>
      <c r="E42" s="67"/>
    </row>
    <row r="43" spans="1:5" s="44" customFormat="1" ht="24" customHeight="1">
      <c r="A43" s="64" t="s">
        <v>70</v>
      </c>
      <c r="B43" s="69"/>
      <c r="C43" s="69"/>
      <c r="D43" s="67"/>
      <c r="E43" s="67"/>
    </row>
    <row r="44" spans="1:5" s="44" customFormat="1" ht="24" customHeight="1">
      <c r="A44" s="64" t="s">
        <v>71</v>
      </c>
      <c r="B44" s="69"/>
      <c r="C44" s="69"/>
      <c r="D44" s="67"/>
      <c r="E44" s="67"/>
    </row>
    <row r="45" spans="1:5" s="44" customFormat="1" ht="24" customHeight="1">
      <c r="A45" s="64" t="s">
        <v>72</v>
      </c>
      <c r="B45" s="69"/>
      <c r="C45" s="69"/>
      <c r="D45" s="67"/>
      <c r="E45" s="67"/>
    </row>
    <row r="46" spans="1:5" s="44" customFormat="1" ht="24" customHeight="1">
      <c r="A46" s="64" t="s">
        <v>73</v>
      </c>
      <c r="B46" s="69"/>
      <c r="C46" s="69"/>
      <c r="D46" s="67"/>
      <c r="E46" s="67"/>
    </row>
    <row r="47" spans="1:5" s="44" customFormat="1" ht="24" customHeight="1">
      <c r="A47" s="64" t="s">
        <v>74</v>
      </c>
      <c r="B47" s="61"/>
      <c r="C47" s="61"/>
      <c r="D47" s="67"/>
      <c r="E47" s="67"/>
    </row>
    <row r="48" spans="1:5" s="44" customFormat="1" ht="24" customHeight="1">
      <c r="A48" s="64" t="s">
        <v>75</v>
      </c>
      <c r="B48" s="69"/>
      <c r="C48" s="69"/>
      <c r="D48" s="67"/>
      <c r="E48" s="67"/>
    </row>
    <row r="49" spans="1:7" s="44" customFormat="1" ht="24" customHeight="1">
      <c r="A49" s="64"/>
      <c r="B49" s="69"/>
      <c r="C49" s="69"/>
      <c r="D49" s="67"/>
      <c r="E49" s="67"/>
    </row>
    <row r="50" spans="1:7" s="44" customFormat="1" ht="24" customHeight="1">
      <c r="A50" s="64" t="s">
        <v>76</v>
      </c>
      <c r="B50" s="69"/>
      <c r="C50" s="69"/>
      <c r="D50" s="67"/>
      <c r="E50" s="67"/>
    </row>
    <row r="51" spans="1:7" s="44" customFormat="1" ht="24" customHeight="1">
      <c r="A51" s="64" t="s">
        <v>77</v>
      </c>
      <c r="B51" s="69"/>
      <c r="C51" s="69"/>
      <c r="D51" s="67"/>
      <c r="E51" s="76" t="s">
        <v>78</v>
      </c>
      <c r="F51" s="76" t="s">
        <v>79</v>
      </c>
      <c r="G51" s="76" t="s">
        <v>80</v>
      </c>
    </row>
    <row r="52" spans="1:7" s="44" customFormat="1" ht="24" customHeight="1">
      <c r="A52" s="64" t="s">
        <v>81</v>
      </c>
      <c r="B52" s="69"/>
      <c r="C52" s="69"/>
      <c r="D52" s="67"/>
      <c r="E52" s="77" t="s">
        <v>82</v>
      </c>
      <c r="F52" s="78">
        <f>B30-B64</f>
        <v>0</v>
      </c>
      <c r="G52" s="78">
        <f>C30-C64</f>
        <v>0</v>
      </c>
    </row>
    <row r="53" spans="1:7" s="44" customFormat="1" ht="24" customHeight="1">
      <c r="A53" s="64" t="s">
        <v>83</v>
      </c>
      <c r="B53" s="69"/>
      <c r="C53" s="69"/>
      <c r="D53" s="67"/>
      <c r="E53" s="77" t="s">
        <v>84</v>
      </c>
      <c r="F53" s="78">
        <f>B30-B58-B63</f>
        <v>0</v>
      </c>
      <c r="G53" s="78">
        <f>C30-C58-C63</f>
        <v>0</v>
      </c>
    </row>
    <row r="54" spans="1:7" s="44" customFormat="1" ht="24" customHeight="1">
      <c r="A54" s="64" t="s">
        <v>85</v>
      </c>
      <c r="B54" s="69"/>
      <c r="C54" s="69"/>
      <c r="D54" s="67"/>
      <c r="E54" s="77" t="s">
        <v>86</v>
      </c>
      <c r="F54" s="78">
        <f>B63-B61-B62</f>
        <v>0</v>
      </c>
      <c r="G54" s="78">
        <f>C63-C61-C62</f>
        <v>0</v>
      </c>
    </row>
    <row r="55" spans="1:7" s="44" customFormat="1" ht="24" customHeight="1">
      <c r="A55" s="64"/>
      <c r="B55" s="69"/>
      <c r="C55" s="69"/>
      <c r="D55" s="67"/>
      <c r="E55" s="77" t="s">
        <v>87</v>
      </c>
      <c r="F55" s="76"/>
      <c r="G55" s="78">
        <f>C63-B63</f>
        <v>-134579.87999999989</v>
      </c>
    </row>
    <row r="56" spans="1:7" s="44" customFormat="1" ht="24" customHeight="1">
      <c r="A56" s="64" t="s">
        <v>88</v>
      </c>
      <c r="B56" s="69"/>
      <c r="C56" s="69"/>
      <c r="D56" s="67"/>
      <c r="E56" s="79" t="s">
        <v>89</v>
      </c>
      <c r="F56" s="76"/>
      <c r="G56" s="78">
        <f>'2025业务活动表'!D19</f>
        <v>-134579.88</v>
      </c>
    </row>
    <row r="57" spans="1:7" s="44" customFormat="1" ht="24" customHeight="1">
      <c r="A57" s="64" t="s">
        <v>90</v>
      </c>
      <c r="B57" s="69"/>
      <c r="C57" s="69"/>
      <c r="D57" s="67"/>
      <c r="E57" s="77" t="s">
        <v>91</v>
      </c>
      <c r="F57" s="76"/>
      <c r="G57" s="78">
        <f>G55-G56</f>
        <v>0</v>
      </c>
    </row>
    <row r="58" spans="1:7" s="44" customFormat="1" ht="24" customHeight="1">
      <c r="A58" s="64" t="s">
        <v>92</v>
      </c>
      <c r="B58" s="69"/>
      <c r="C58" s="69"/>
      <c r="D58" s="67"/>
      <c r="E58" s="67"/>
    </row>
    <row r="59" spans="1:7" s="44" customFormat="1" ht="24" customHeight="1">
      <c r="A59" s="64"/>
      <c r="B59" s="69"/>
      <c r="C59" s="60"/>
      <c r="D59" s="67"/>
      <c r="E59" s="67"/>
    </row>
    <row r="60" spans="1:7" s="44" customFormat="1" ht="24" customHeight="1">
      <c r="A60" s="64" t="s">
        <v>93</v>
      </c>
      <c r="B60" s="69"/>
      <c r="C60" s="60"/>
      <c r="D60" s="67"/>
      <c r="E60" s="67"/>
    </row>
    <row r="61" spans="1:7" s="44" customFormat="1" ht="24" customHeight="1">
      <c r="A61" s="64" t="s">
        <v>94</v>
      </c>
      <c r="B61" s="72">
        <v>1247776.43</v>
      </c>
      <c r="C61" s="73">
        <v>1113196.55</v>
      </c>
      <c r="D61" s="67"/>
      <c r="E61" s="67"/>
    </row>
    <row r="62" spans="1:7" s="44" customFormat="1" ht="24" customHeight="1">
      <c r="A62" s="56" t="s">
        <v>95</v>
      </c>
      <c r="B62" s="69"/>
      <c r="C62" s="60"/>
      <c r="D62" s="67"/>
      <c r="E62" s="80"/>
    </row>
    <row r="63" spans="1:7" s="44" customFormat="1" ht="24" customHeight="1">
      <c r="A63" s="64" t="s">
        <v>96</v>
      </c>
      <c r="B63" s="69">
        <v>1247776.43</v>
      </c>
      <c r="C63" s="60">
        <v>1113196.55</v>
      </c>
      <c r="D63" s="74"/>
      <c r="E63" s="59"/>
    </row>
    <row r="64" spans="1:7" s="44" customFormat="1" ht="24" customHeight="1">
      <c r="A64" s="63" t="s">
        <v>97</v>
      </c>
      <c r="B64" s="69">
        <v>1247776.43</v>
      </c>
      <c r="C64" s="60">
        <v>1113196.55</v>
      </c>
      <c r="D64" s="75"/>
      <c r="E64" s="59"/>
    </row>
    <row r="65" spans="1:8" s="44" customFormat="1" ht="37.5" customHeight="1">
      <c r="A65" s="52"/>
      <c r="B65" s="52"/>
      <c r="D65" s="81"/>
      <c r="E65" s="59"/>
      <c r="F65" s="82"/>
      <c r="G65" s="82"/>
      <c r="H65" s="82"/>
    </row>
    <row r="66" spans="1:8" s="44" customFormat="1" ht="18" customHeight="1">
      <c r="A66" s="133" t="s">
        <v>60</v>
      </c>
      <c r="B66" s="134"/>
      <c r="C66" s="134"/>
      <c r="D66" s="59"/>
      <c r="E66" s="59"/>
    </row>
  </sheetData>
  <mergeCells count="4">
    <mergeCell ref="A1:C1"/>
    <mergeCell ref="A32:C32"/>
    <mergeCell ref="A33:C33"/>
    <mergeCell ref="A66:C66"/>
  </mergeCells>
  <phoneticPr fontId="53" type="noConversion"/>
  <printOptions horizontalCentered="1"/>
  <pageMargins left="0.7" right="0.7" top="0.75" bottom="0.75" header="0.3" footer="0.3"/>
  <pageSetup paperSize="9" scale="88" orientation="portrait" r:id="rId1"/>
  <rowBreaks count="1" manualBreakCount="1">
    <brk id="32" max="2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8202-AE71-4BFD-B19F-69475F8DB389}">
  <dimension ref="A1:IV65"/>
  <sheetViews>
    <sheetView tabSelected="1" view="pageBreakPreview" zoomScaleNormal="100" workbookViewId="0">
      <selection activeCell="J10" sqref="J10"/>
    </sheetView>
  </sheetViews>
  <sheetFormatPr defaultColWidth="9" defaultRowHeight="14.25"/>
  <cols>
    <col min="1" max="1" width="34.875" style="26" customWidth="1"/>
    <col min="2" max="2" width="5.625" style="27" customWidth="1"/>
    <col min="3" max="4" width="18.875" style="27" customWidth="1"/>
    <col min="5" max="5" width="12.125" style="26" customWidth="1"/>
    <col min="6" max="6" width="13.875" style="26" customWidth="1"/>
    <col min="7" max="7" width="10.125" style="26" customWidth="1"/>
    <col min="8" max="12" width="9" style="26"/>
    <col min="13" max="13" width="11.125" style="26" customWidth="1"/>
    <col min="14" max="256" width="9" style="26"/>
    <col min="257" max="16384" width="9" style="28"/>
  </cols>
  <sheetData>
    <row r="1" spans="1:7" ht="30" customHeight="1">
      <c r="A1" s="135" t="s">
        <v>98</v>
      </c>
      <c r="B1" s="135"/>
      <c r="C1" s="135"/>
      <c r="D1" s="135"/>
    </row>
    <row r="2" spans="1:7" s="25" customFormat="1" ht="24" customHeight="1">
      <c r="A2" s="29"/>
      <c r="B2" s="26"/>
      <c r="C2" s="26"/>
      <c r="D2" s="30" t="s">
        <v>99</v>
      </c>
    </row>
    <row r="3" spans="1:7" s="25" customFormat="1" ht="24" customHeight="1">
      <c r="A3" s="136" t="e">
        <v>#REF!</v>
      </c>
      <c r="B3" s="136"/>
      <c r="C3" s="136"/>
      <c r="D3" s="31" t="s">
        <v>31</v>
      </c>
      <c r="E3" s="26"/>
      <c r="F3" s="26"/>
    </row>
    <row r="4" spans="1:7" s="25" customFormat="1" ht="25.5" customHeight="1">
      <c r="A4" s="86" t="s">
        <v>100</v>
      </c>
      <c r="B4" s="86" t="s">
        <v>101</v>
      </c>
      <c r="C4" s="87" t="s">
        <v>178</v>
      </c>
      <c r="D4" s="87" t="s">
        <v>179</v>
      </c>
    </row>
    <row r="5" spans="1:7" s="25" customFormat="1" ht="25.5" customHeight="1">
      <c r="A5" s="33" t="s">
        <v>103</v>
      </c>
      <c r="B5" s="32">
        <v>1</v>
      </c>
      <c r="C5" s="34"/>
      <c r="D5" s="34"/>
    </row>
    <row r="6" spans="1:7" s="25" customFormat="1" ht="25.5" customHeight="1">
      <c r="A6" s="33" t="s">
        <v>104</v>
      </c>
      <c r="B6" s="32">
        <v>2</v>
      </c>
      <c r="C6" s="84"/>
      <c r="D6" s="84"/>
    </row>
    <row r="7" spans="1:7" s="25" customFormat="1" ht="25.5" customHeight="1">
      <c r="A7" s="36" t="s">
        <v>105</v>
      </c>
      <c r="B7" s="32">
        <v>3</v>
      </c>
      <c r="C7" s="84">
        <v>275000</v>
      </c>
      <c r="D7" s="84"/>
    </row>
    <row r="8" spans="1:7" s="25" customFormat="1" ht="25.5" customHeight="1">
      <c r="A8" s="36" t="s">
        <v>106</v>
      </c>
      <c r="B8" s="32">
        <v>4</v>
      </c>
      <c r="C8" s="84"/>
      <c r="D8" s="84"/>
    </row>
    <row r="9" spans="1:7" s="25" customFormat="1" ht="25.5" customHeight="1">
      <c r="A9" s="36" t="s">
        <v>107</v>
      </c>
      <c r="B9" s="32">
        <v>5</v>
      </c>
      <c r="C9" s="35"/>
      <c r="D9" s="35"/>
    </row>
    <row r="10" spans="1:7" s="25" customFormat="1" ht="25.5" customHeight="1">
      <c r="A10" s="36" t="s">
        <v>108</v>
      </c>
      <c r="B10" s="32">
        <v>6</v>
      </c>
      <c r="C10" s="84"/>
      <c r="D10" s="84"/>
    </row>
    <row r="11" spans="1:7" s="25" customFormat="1" ht="25.5" customHeight="1">
      <c r="A11" s="33" t="s">
        <v>109</v>
      </c>
      <c r="B11" s="32">
        <v>7</v>
      </c>
      <c r="C11" s="84">
        <v>2209.63</v>
      </c>
      <c r="D11" s="84">
        <v>292.62</v>
      </c>
      <c r="G11" s="38"/>
    </row>
    <row r="12" spans="1:7" s="25" customFormat="1" ht="25.5" customHeight="1">
      <c r="A12" s="32" t="s">
        <v>110</v>
      </c>
      <c r="B12" s="32">
        <v>8</v>
      </c>
      <c r="C12" s="84">
        <v>277209.63</v>
      </c>
      <c r="D12" s="84">
        <v>292.62</v>
      </c>
    </row>
    <row r="13" spans="1:7" s="25" customFormat="1" ht="25.5" customHeight="1">
      <c r="A13" s="33" t="s">
        <v>111</v>
      </c>
      <c r="B13" s="32">
        <v>9</v>
      </c>
      <c r="C13" s="89"/>
      <c r="D13" s="89"/>
    </row>
    <row r="14" spans="1:7" s="25" customFormat="1" ht="25.5" customHeight="1">
      <c r="A14" s="33" t="s">
        <v>112</v>
      </c>
      <c r="B14" s="32">
        <v>10</v>
      </c>
      <c r="C14" s="125">
        <v>243684.8</v>
      </c>
      <c r="D14" s="125">
        <v>32180</v>
      </c>
      <c r="E14" s="88"/>
      <c r="F14" s="38"/>
    </row>
    <row r="15" spans="1:7" s="25" customFormat="1" ht="25.5" customHeight="1">
      <c r="A15" s="33" t="s">
        <v>113</v>
      </c>
      <c r="B15" s="32">
        <v>11</v>
      </c>
      <c r="C15" s="126">
        <v>44184.5</v>
      </c>
      <c r="D15" s="126">
        <v>102692.5</v>
      </c>
      <c r="E15" s="88"/>
    </row>
    <row r="16" spans="1:7" s="25" customFormat="1" ht="25.5" customHeight="1">
      <c r="A16" s="33" t="s">
        <v>114</v>
      </c>
      <c r="B16" s="32">
        <v>12</v>
      </c>
      <c r="C16" s="91"/>
      <c r="D16" s="91"/>
      <c r="E16" s="88"/>
    </row>
    <row r="17" spans="1:13" s="25" customFormat="1" ht="25.5" customHeight="1">
      <c r="A17" s="33" t="s">
        <v>115</v>
      </c>
      <c r="B17" s="32">
        <v>13</v>
      </c>
      <c r="C17" s="91"/>
      <c r="D17" s="91"/>
      <c r="E17" s="88"/>
      <c r="F17" s="38"/>
    </row>
    <row r="18" spans="1:13" s="25" customFormat="1" ht="25.5" customHeight="1">
      <c r="A18" s="32" t="s">
        <v>116</v>
      </c>
      <c r="B18" s="32">
        <v>14</v>
      </c>
      <c r="C18" s="84">
        <v>287869.3</v>
      </c>
      <c r="D18" s="84">
        <v>134872.5</v>
      </c>
      <c r="E18" s="88"/>
    </row>
    <row r="19" spans="1:13" s="25" customFormat="1" ht="28.5" customHeight="1">
      <c r="A19" s="36" t="s">
        <v>117</v>
      </c>
      <c r="B19" s="32">
        <v>15</v>
      </c>
      <c r="C19" s="84">
        <v>-10659.669999999984</v>
      </c>
      <c r="D19" s="84">
        <f>D12-D18</f>
        <v>-134579.88</v>
      </c>
      <c r="E19" s="88"/>
    </row>
    <row r="20" spans="1:13" s="25" customFormat="1" ht="28.5" customHeight="1">
      <c r="A20" s="37" t="s">
        <v>118</v>
      </c>
      <c r="B20" s="32">
        <v>16</v>
      </c>
      <c r="C20" s="91"/>
      <c r="D20" s="91"/>
      <c r="F20" s="38"/>
      <c r="M20" s="39"/>
    </row>
    <row r="21" spans="1:13" ht="27">
      <c r="A21" s="37" t="s">
        <v>119</v>
      </c>
      <c r="B21" s="32">
        <v>17</v>
      </c>
      <c r="C21" s="89">
        <v>-10659.669999999984</v>
      </c>
      <c r="D21" s="89">
        <v>-134579.88</v>
      </c>
      <c r="F21" s="85"/>
    </row>
    <row r="65" ht="37.5" customHeight="1"/>
  </sheetData>
  <mergeCells count="2">
    <mergeCell ref="A1:D1"/>
    <mergeCell ref="A3:C3"/>
  </mergeCells>
  <phoneticPr fontId="5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P77"/>
  <sheetViews>
    <sheetView showGridLines="0" showZeros="0" view="pageBreakPreview" topLeftCell="C1" zoomScaleNormal="100" workbookViewId="0">
      <selection activeCell="M69" sqref="M69"/>
    </sheetView>
  </sheetViews>
  <sheetFormatPr defaultColWidth="9" defaultRowHeight="15.75"/>
  <cols>
    <col min="1" max="1" width="49.125" style="3" customWidth="1"/>
    <col min="2" max="2" width="11.125" style="3" customWidth="1"/>
    <col min="3" max="6" width="8.5" style="3" customWidth="1"/>
    <col min="7" max="8" width="10.625" style="3" customWidth="1"/>
    <col min="9" max="9" width="9.625" style="3" customWidth="1"/>
    <col min="10" max="11" width="10.625" style="3" customWidth="1"/>
    <col min="12" max="12" width="7.375" style="3" customWidth="1"/>
    <col min="13" max="13" width="10.625" style="3" customWidth="1"/>
    <col min="14" max="14" width="14" style="3" customWidth="1"/>
    <col min="15" max="15" width="18" style="3" customWidth="1"/>
    <col min="16" max="16384" width="9" style="3"/>
  </cols>
  <sheetData>
    <row r="1" spans="1:15" s="1" customFormat="1" ht="27.75">
      <c r="A1" s="146" t="s">
        <v>121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7" t="s">
        <v>122</v>
      </c>
    </row>
    <row r="2" spans="1:15" ht="14.1" customHeight="1">
      <c r="N2" s="18" t="s">
        <v>123</v>
      </c>
    </row>
    <row r="3" spans="1:15" ht="14.1" customHeight="1">
      <c r="A3" s="4" t="e">
        <f>#REF!</f>
        <v>#REF!</v>
      </c>
      <c r="M3" s="19"/>
      <c r="N3" s="20" t="s">
        <v>124</v>
      </c>
    </row>
    <row r="4" spans="1:15" ht="14.1" customHeight="1">
      <c r="A4" s="143" t="s">
        <v>125</v>
      </c>
      <c r="B4" s="147" t="e">
        <f>#REF!</f>
        <v>#REF!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8"/>
    </row>
    <row r="5" spans="1:15" ht="14.1" customHeight="1">
      <c r="A5" s="144"/>
      <c r="B5" s="145" t="s">
        <v>126</v>
      </c>
      <c r="C5" s="141" t="s">
        <v>127</v>
      </c>
      <c r="D5" s="141"/>
      <c r="E5" s="141"/>
      <c r="F5" s="141"/>
      <c r="G5" s="139" t="s">
        <v>128</v>
      </c>
      <c r="H5" s="139" t="s">
        <v>129</v>
      </c>
      <c r="I5" s="138" t="s">
        <v>130</v>
      </c>
      <c r="J5" s="137" t="s">
        <v>131</v>
      </c>
      <c r="K5" s="139" t="s">
        <v>132</v>
      </c>
      <c r="L5" s="137" t="s">
        <v>133</v>
      </c>
      <c r="M5" s="138" t="s">
        <v>134</v>
      </c>
      <c r="N5" s="140" t="s">
        <v>135</v>
      </c>
    </row>
    <row r="6" spans="1:15" ht="14.1" customHeight="1">
      <c r="A6" s="144"/>
      <c r="B6" s="139"/>
      <c r="C6" s="5" t="s">
        <v>136</v>
      </c>
      <c r="D6" s="5" t="s">
        <v>137</v>
      </c>
      <c r="E6" s="5" t="s">
        <v>138</v>
      </c>
      <c r="F6" s="5" t="s">
        <v>139</v>
      </c>
      <c r="G6" s="139"/>
      <c r="H6" s="139"/>
      <c r="I6" s="138"/>
      <c r="J6" s="137"/>
      <c r="K6" s="139"/>
      <c r="L6" s="137"/>
      <c r="M6" s="138"/>
      <c r="N6" s="140"/>
    </row>
    <row r="7" spans="1:15" ht="14.1" customHeight="1">
      <c r="A7" s="6" t="s">
        <v>140</v>
      </c>
      <c r="B7" s="7">
        <f>B72</f>
        <v>0</v>
      </c>
      <c r="C7" s="7">
        <f>C72</f>
        <v>0</v>
      </c>
      <c r="D7" s="7">
        <f>D72</f>
        <v>0</v>
      </c>
      <c r="E7" s="7">
        <f>E72</f>
        <v>0</v>
      </c>
      <c r="F7" s="7">
        <f>SUM(C7:E7)</f>
        <v>0</v>
      </c>
      <c r="G7" s="7">
        <f t="shared" ref="G7:M7" si="0">G72</f>
        <v>0</v>
      </c>
      <c r="H7" s="7">
        <f t="shared" si="0"/>
        <v>0</v>
      </c>
      <c r="I7" s="7" t="e">
        <f t="shared" si="0"/>
        <v>#REF!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 t="e">
        <f t="shared" si="0"/>
        <v>#REF!</v>
      </c>
      <c r="N7" s="21" t="e">
        <f t="shared" ref="N7:N34" si="1">SUM(B7,F7:G7,I7:M7)-H7</f>
        <v>#REF!</v>
      </c>
    </row>
    <row r="8" spans="1:15" ht="14.1" customHeight="1">
      <c r="A8" s="6" t="s">
        <v>141</v>
      </c>
      <c r="B8" s="7"/>
      <c r="C8" s="7"/>
      <c r="D8" s="7"/>
      <c r="E8" s="7"/>
      <c r="F8" s="7">
        <f>SUM(C8:E8)</f>
        <v>0</v>
      </c>
      <c r="G8" s="7"/>
      <c r="H8" s="7"/>
      <c r="I8" s="7"/>
      <c r="J8" s="7"/>
      <c r="K8" s="7"/>
      <c r="L8" s="7"/>
      <c r="M8" s="7"/>
      <c r="N8" s="21">
        <f t="shared" si="1"/>
        <v>0</v>
      </c>
    </row>
    <row r="9" spans="1:15" ht="14.1" customHeight="1">
      <c r="A9" s="6" t="s">
        <v>142</v>
      </c>
      <c r="B9" s="7"/>
      <c r="C9" s="7"/>
      <c r="D9" s="7"/>
      <c r="E9" s="7"/>
      <c r="F9" s="7">
        <f>SUM(C9:E9)</f>
        <v>0</v>
      </c>
      <c r="G9" s="7"/>
      <c r="H9" s="7"/>
      <c r="I9" s="7"/>
      <c r="J9" s="7"/>
      <c r="K9" s="7"/>
      <c r="L9" s="7"/>
      <c r="M9" s="7"/>
      <c r="N9" s="21">
        <f t="shared" si="1"/>
        <v>0</v>
      </c>
    </row>
    <row r="10" spans="1:15" ht="14.1" customHeight="1">
      <c r="A10" s="8" t="s">
        <v>143</v>
      </c>
      <c r="B10" s="7"/>
      <c r="C10" s="7"/>
      <c r="D10" s="7"/>
      <c r="E10" s="7"/>
      <c r="F10" s="7">
        <f>SUM(C10:E10)</f>
        <v>0</v>
      </c>
      <c r="G10" s="7"/>
      <c r="H10" s="7"/>
      <c r="I10" s="7"/>
      <c r="J10" s="7"/>
      <c r="K10" s="7"/>
      <c r="L10" s="7"/>
      <c r="M10" s="7"/>
      <c r="N10" s="21">
        <f t="shared" si="1"/>
        <v>0</v>
      </c>
    </row>
    <row r="11" spans="1:15" ht="14.1" customHeight="1">
      <c r="A11" s="6" t="s">
        <v>144</v>
      </c>
      <c r="B11" s="7">
        <f>B7+B8+B9</f>
        <v>0</v>
      </c>
      <c r="C11" s="7">
        <f t="shared" ref="C11:M11" si="2">C7+C8+C9</f>
        <v>0</v>
      </c>
      <c r="D11" s="7">
        <f t="shared" si="2"/>
        <v>0</v>
      </c>
      <c r="E11" s="7">
        <f t="shared" si="2"/>
        <v>0</v>
      </c>
      <c r="F11" s="7">
        <f t="shared" si="2"/>
        <v>0</v>
      </c>
      <c r="G11" s="7">
        <f t="shared" si="2"/>
        <v>0</v>
      </c>
      <c r="H11" s="7">
        <f t="shared" si="2"/>
        <v>0</v>
      </c>
      <c r="I11" s="7" t="e">
        <f t="shared" si="2"/>
        <v>#REF!</v>
      </c>
      <c r="J11" s="7">
        <f t="shared" si="2"/>
        <v>0</v>
      </c>
      <c r="K11" s="7">
        <f t="shared" si="2"/>
        <v>0</v>
      </c>
      <c r="L11" s="7">
        <f t="shared" si="2"/>
        <v>0</v>
      </c>
      <c r="M11" s="7" t="e">
        <f t="shared" si="2"/>
        <v>#REF!</v>
      </c>
      <c r="N11" s="21" t="e">
        <f t="shared" si="1"/>
        <v>#REF!</v>
      </c>
    </row>
    <row r="12" spans="1:15" ht="14.1" customHeight="1">
      <c r="A12" s="6" t="s">
        <v>145</v>
      </c>
      <c r="B12" s="7">
        <f t="shared" ref="B12:M12" si="3">SUM(B13:B14,B19,B24,B30,B33)</f>
        <v>0</v>
      </c>
      <c r="C12" s="7">
        <f t="shared" si="3"/>
        <v>0</v>
      </c>
      <c r="D12" s="7">
        <f t="shared" si="3"/>
        <v>0</v>
      </c>
      <c r="E12" s="7">
        <f t="shared" si="3"/>
        <v>0</v>
      </c>
      <c r="F12" s="7">
        <f t="shared" si="3"/>
        <v>0</v>
      </c>
      <c r="G12" s="7">
        <f t="shared" si="3"/>
        <v>0</v>
      </c>
      <c r="H12" s="7">
        <f t="shared" si="3"/>
        <v>0</v>
      </c>
      <c r="I12" s="7" t="e">
        <f t="shared" si="3"/>
        <v>#REF!</v>
      </c>
      <c r="J12" s="7">
        <f t="shared" si="3"/>
        <v>0</v>
      </c>
      <c r="K12" s="7">
        <f t="shared" si="3"/>
        <v>0</v>
      </c>
      <c r="L12" s="7">
        <f t="shared" si="3"/>
        <v>0</v>
      </c>
      <c r="M12" s="7" t="e">
        <f t="shared" si="3"/>
        <v>#REF!</v>
      </c>
      <c r="N12" s="21" t="e">
        <f t="shared" si="1"/>
        <v>#REF!</v>
      </c>
    </row>
    <row r="13" spans="1:15" ht="14.1" customHeight="1">
      <c r="A13" s="9" t="s">
        <v>146</v>
      </c>
      <c r="B13" s="7"/>
      <c r="C13" s="7"/>
      <c r="D13" s="7"/>
      <c r="E13" s="7"/>
      <c r="F13" s="7"/>
      <c r="G13" s="7"/>
      <c r="H13" s="7"/>
      <c r="I13" s="7" t="e">
        <f>#REF!</f>
        <v>#REF!</v>
      </c>
      <c r="J13" s="7"/>
      <c r="K13" s="7"/>
      <c r="L13" s="7"/>
      <c r="M13" s="7" t="e">
        <f>#REF!</f>
        <v>#REF!</v>
      </c>
      <c r="N13" s="21" t="e">
        <f t="shared" si="1"/>
        <v>#REF!</v>
      </c>
    </row>
    <row r="14" spans="1:15" ht="14.1" customHeight="1">
      <c r="A14" s="6" t="s">
        <v>147</v>
      </c>
      <c r="B14" s="7">
        <f>SUM(B15:B18)</f>
        <v>0</v>
      </c>
      <c r="C14" s="7">
        <f t="shared" ref="C14:M14" si="4">SUM(C15:C18)</f>
        <v>0</v>
      </c>
      <c r="D14" s="7">
        <f t="shared" si="4"/>
        <v>0</v>
      </c>
      <c r="E14" s="7">
        <f t="shared" si="4"/>
        <v>0</v>
      </c>
      <c r="F14" s="7">
        <f t="shared" si="4"/>
        <v>0</v>
      </c>
      <c r="G14" s="7">
        <f t="shared" si="4"/>
        <v>0</v>
      </c>
      <c r="H14" s="7">
        <f t="shared" si="4"/>
        <v>0</v>
      </c>
      <c r="I14" s="7">
        <f t="shared" si="4"/>
        <v>0</v>
      </c>
      <c r="J14" s="7">
        <f t="shared" si="4"/>
        <v>0</v>
      </c>
      <c r="K14" s="7">
        <f t="shared" si="4"/>
        <v>0</v>
      </c>
      <c r="L14" s="7">
        <f t="shared" si="4"/>
        <v>0</v>
      </c>
      <c r="M14" s="7">
        <f t="shared" si="4"/>
        <v>0</v>
      </c>
      <c r="N14" s="21">
        <f t="shared" si="1"/>
        <v>0</v>
      </c>
    </row>
    <row r="15" spans="1:15" ht="14.1" customHeight="1">
      <c r="A15" s="6" t="s">
        <v>148</v>
      </c>
      <c r="B15" s="7"/>
      <c r="C15" s="7"/>
      <c r="D15" s="7"/>
      <c r="E15" s="7"/>
      <c r="F15" s="7">
        <f>SUM(C15:E15)</f>
        <v>0</v>
      </c>
      <c r="G15" s="7"/>
      <c r="H15" s="7"/>
      <c r="I15" s="7"/>
      <c r="J15" s="7"/>
      <c r="K15" s="7"/>
      <c r="L15" s="7"/>
      <c r="M15" s="7"/>
      <c r="N15" s="21">
        <f t="shared" si="1"/>
        <v>0</v>
      </c>
    </row>
    <row r="16" spans="1:15" ht="14.1" customHeight="1">
      <c r="A16" s="10" t="s">
        <v>149</v>
      </c>
      <c r="B16" s="7"/>
      <c r="C16" s="7"/>
      <c r="D16" s="7"/>
      <c r="E16" s="7"/>
      <c r="F16" s="7">
        <f>SUM(C16:E16)</f>
        <v>0</v>
      </c>
      <c r="G16" s="7"/>
      <c r="H16" s="7"/>
      <c r="I16" s="7"/>
      <c r="J16" s="7"/>
      <c r="K16" s="7"/>
      <c r="L16" s="7"/>
      <c r="M16" s="7"/>
      <c r="N16" s="21">
        <f t="shared" si="1"/>
        <v>0</v>
      </c>
    </row>
    <row r="17" spans="1:14" ht="14.1" customHeight="1">
      <c r="A17" s="6" t="s">
        <v>150</v>
      </c>
      <c r="B17" s="7"/>
      <c r="C17" s="7"/>
      <c r="D17" s="7"/>
      <c r="E17" s="7"/>
      <c r="F17" s="7">
        <f>SUM(C17:E17)</f>
        <v>0</v>
      </c>
      <c r="G17" s="7"/>
      <c r="H17" s="7"/>
      <c r="I17" s="7"/>
      <c r="J17" s="7"/>
      <c r="K17" s="7"/>
      <c r="L17" s="7"/>
      <c r="M17" s="7"/>
      <c r="N17" s="21">
        <f t="shared" si="1"/>
        <v>0</v>
      </c>
    </row>
    <row r="18" spans="1:14" ht="14.1" customHeight="1">
      <c r="A18" s="6" t="s">
        <v>151</v>
      </c>
      <c r="B18" s="7"/>
      <c r="C18" s="7"/>
      <c r="D18" s="7"/>
      <c r="E18" s="7"/>
      <c r="F18" s="7">
        <f>SUM(C18:E18)</f>
        <v>0</v>
      </c>
      <c r="G18" s="7"/>
      <c r="H18" s="7"/>
      <c r="I18" s="7"/>
      <c r="J18" s="7"/>
      <c r="K18" s="7"/>
      <c r="L18" s="7"/>
      <c r="M18" s="7"/>
      <c r="N18" s="21">
        <f t="shared" si="1"/>
        <v>0</v>
      </c>
    </row>
    <row r="19" spans="1:14" ht="14.1" customHeight="1">
      <c r="A19" s="6" t="s">
        <v>152</v>
      </c>
      <c r="B19" s="7">
        <f>SUM(B20:B23)</f>
        <v>0</v>
      </c>
      <c r="C19" s="7">
        <f t="shared" ref="C19:M19" si="5">SUM(C20:C23)</f>
        <v>0</v>
      </c>
      <c r="D19" s="7">
        <f t="shared" si="5"/>
        <v>0</v>
      </c>
      <c r="E19" s="7">
        <f t="shared" si="5"/>
        <v>0</v>
      </c>
      <c r="F19" s="7">
        <f t="shared" si="5"/>
        <v>0</v>
      </c>
      <c r="G19" s="7">
        <f t="shared" si="5"/>
        <v>0</v>
      </c>
      <c r="H19" s="7">
        <f t="shared" si="5"/>
        <v>0</v>
      </c>
      <c r="I19" s="7">
        <f t="shared" si="5"/>
        <v>0</v>
      </c>
      <c r="J19" s="7">
        <f t="shared" si="5"/>
        <v>0</v>
      </c>
      <c r="K19" s="7">
        <f t="shared" si="5"/>
        <v>0</v>
      </c>
      <c r="L19" s="7">
        <f t="shared" si="5"/>
        <v>0</v>
      </c>
      <c r="M19" s="7">
        <f t="shared" si="5"/>
        <v>0</v>
      </c>
      <c r="N19" s="21">
        <f t="shared" si="1"/>
        <v>0</v>
      </c>
    </row>
    <row r="20" spans="1:14" ht="14.1" customHeight="1">
      <c r="A20" s="6" t="s">
        <v>153</v>
      </c>
      <c r="B20" s="7"/>
      <c r="C20" s="7"/>
      <c r="D20" s="7"/>
      <c r="E20" s="7"/>
      <c r="F20" s="7">
        <f>SUM(C20:E20)</f>
        <v>0</v>
      </c>
      <c r="G20" s="7"/>
      <c r="H20" s="7"/>
      <c r="I20" s="7"/>
      <c r="J20" s="7"/>
      <c r="K20" s="7"/>
      <c r="L20" s="7"/>
      <c r="M20" s="7">
        <f>-K20</f>
        <v>0</v>
      </c>
      <c r="N20" s="21">
        <f t="shared" si="1"/>
        <v>0</v>
      </c>
    </row>
    <row r="21" spans="1:14" ht="14.1" customHeight="1">
      <c r="A21" s="10" t="s">
        <v>154</v>
      </c>
      <c r="B21" s="7"/>
      <c r="C21" s="7"/>
      <c r="D21" s="7"/>
      <c r="E21" s="7"/>
      <c r="F21" s="7">
        <f>SUM(C21:E21)</f>
        <v>0</v>
      </c>
      <c r="G21" s="7"/>
      <c r="H21" s="7"/>
      <c r="I21" s="7"/>
      <c r="J21" s="7"/>
      <c r="K21" s="7"/>
      <c r="L21" s="7"/>
      <c r="M21" s="7"/>
      <c r="N21" s="21">
        <f t="shared" si="1"/>
        <v>0</v>
      </c>
    </row>
    <row r="22" spans="1:14" ht="14.1" customHeight="1">
      <c r="A22" s="6" t="s">
        <v>155</v>
      </c>
      <c r="B22" s="7"/>
      <c r="C22" s="7"/>
      <c r="D22" s="7"/>
      <c r="E22" s="7"/>
      <c r="F22" s="7">
        <f>SUM(C22:E22)</f>
        <v>0</v>
      </c>
      <c r="G22" s="7"/>
      <c r="H22" s="7"/>
      <c r="I22" s="7"/>
      <c r="J22" s="7"/>
      <c r="K22" s="7"/>
      <c r="L22" s="7"/>
      <c r="M22" s="7"/>
      <c r="N22" s="21">
        <f t="shared" si="1"/>
        <v>0</v>
      </c>
    </row>
    <row r="23" spans="1:14" ht="14.1" customHeight="1">
      <c r="A23" s="6" t="s">
        <v>151</v>
      </c>
      <c r="B23" s="7"/>
      <c r="C23" s="7"/>
      <c r="D23" s="7"/>
      <c r="E23" s="7"/>
      <c r="F23" s="7">
        <f>SUM(C23:E23)</f>
        <v>0</v>
      </c>
      <c r="G23" s="7"/>
      <c r="H23" s="7"/>
      <c r="I23" s="7"/>
      <c r="J23" s="7"/>
      <c r="K23" s="7"/>
      <c r="L23" s="7"/>
      <c r="M23" s="7"/>
      <c r="N23" s="21">
        <f t="shared" si="1"/>
        <v>0</v>
      </c>
    </row>
    <row r="24" spans="1:14" ht="14.1" customHeight="1">
      <c r="A24" s="6" t="s">
        <v>156</v>
      </c>
      <c r="B24" s="7">
        <f t="shared" ref="B24:M24" si="6">SUM(B25:B29)</f>
        <v>0</v>
      </c>
      <c r="C24" s="7">
        <f t="shared" si="6"/>
        <v>0</v>
      </c>
      <c r="D24" s="7">
        <f t="shared" si="6"/>
        <v>0</v>
      </c>
      <c r="E24" s="7">
        <f t="shared" si="6"/>
        <v>0</v>
      </c>
      <c r="F24" s="7">
        <f t="shared" si="6"/>
        <v>0</v>
      </c>
      <c r="G24" s="7">
        <f t="shared" si="6"/>
        <v>0</v>
      </c>
      <c r="H24" s="7">
        <f t="shared" si="6"/>
        <v>0</v>
      </c>
      <c r="I24" s="7">
        <f t="shared" si="6"/>
        <v>0</v>
      </c>
      <c r="J24" s="7">
        <f t="shared" si="6"/>
        <v>0</v>
      </c>
      <c r="K24" s="7">
        <f t="shared" si="6"/>
        <v>0</v>
      </c>
      <c r="L24" s="7">
        <f t="shared" si="6"/>
        <v>0</v>
      </c>
      <c r="M24" s="7">
        <f t="shared" si="6"/>
        <v>0</v>
      </c>
      <c r="N24" s="21">
        <f t="shared" si="1"/>
        <v>0</v>
      </c>
    </row>
    <row r="25" spans="1:14" ht="14.1" customHeight="1">
      <c r="A25" s="6" t="s">
        <v>157</v>
      </c>
      <c r="B25" s="7"/>
      <c r="C25" s="7"/>
      <c r="D25" s="7"/>
      <c r="E25" s="7"/>
      <c r="F25" s="7">
        <f>SUM(C25:E25)</f>
        <v>0</v>
      </c>
      <c r="G25" s="7">
        <f>-B25</f>
        <v>0</v>
      </c>
      <c r="H25" s="7"/>
      <c r="I25" s="7"/>
      <c r="J25" s="7"/>
      <c r="K25" s="7"/>
      <c r="L25" s="7"/>
      <c r="M25" s="7"/>
      <c r="N25" s="21">
        <f t="shared" si="1"/>
        <v>0</v>
      </c>
    </row>
    <row r="26" spans="1:14" ht="14.1" customHeight="1">
      <c r="A26" s="6" t="s">
        <v>158</v>
      </c>
      <c r="B26" s="7"/>
      <c r="C26" s="7"/>
      <c r="D26" s="7"/>
      <c r="E26" s="7"/>
      <c r="F26" s="7">
        <f>SUM(C26:E26)</f>
        <v>0</v>
      </c>
      <c r="G26" s="7"/>
      <c r="H26" s="7"/>
      <c r="I26" s="7"/>
      <c r="J26" s="7"/>
      <c r="K26" s="7"/>
      <c r="L26" s="7"/>
      <c r="M26" s="7"/>
      <c r="N26" s="21">
        <f t="shared" si="1"/>
        <v>0</v>
      </c>
    </row>
    <row r="27" spans="1:14" ht="14.1" customHeight="1">
      <c r="A27" s="6" t="s">
        <v>159</v>
      </c>
      <c r="B27" s="7"/>
      <c r="C27" s="7"/>
      <c r="D27" s="7"/>
      <c r="E27" s="7"/>
      <c r="F27" s="7">
        <f>SUM(C27:E27)</f>
        <v>0</v>
      </c>
      <c r="G27" s="7"/>
      <c r="H27" s="7"/>
      <c r="I27" s="7"/>
      <c r="J27" s="7"/>
      <c r="K27" s="7"/>
      <c r="L27" s="7"/>
      <c r="M27" s="7"/>
      <c r="N27" s="21">
        <f t="shared" si="1"/>
        <v>0</v>
      </c>
    </row>
    <row r="28" spans="1:14">
      <c r="A28" s="11" t="s">
        <v>160</v>
      </c>
      <c r="B28" s="7"/>
      <c r="C28" s="7"/>
      <c r="D28" s="7"/>
      <c r="E28" s="7"/>
      <c r="F28" s="7">
        <f>SUM(C28:E28)</f>
        <v>0</v>
      </c>
      <c r="G28" s="7"/>
      <c r="H28" s="7"/>
      <c r="I28" s="7"/>
      <c r="J28" s="7"/>
      <c r="K28" s="7"/>
      <c r="L28" s="7"/>
      <c r="M28" s="7"/>
      <c r="N28" s="21">
        <f t="shared" si="1"/>
        <v>0</v>
      </c>
    </row>
    <row r="29" spans="1:14" ht="14.1" customHeight="1">
      <c r="A29" s="6" t="s">
        <v>161</v>
      </c>
      <c r="B29" s="7"/>
      <c r="C29" s="7"/>
      <c r="D29" s="7"/>
      <c r="E29" s="7"/>
      <c r="F29" s="7">
        <f>SUM(C29:E29)</f>
        <v>0</v>
      </c>
      <c r="G29" s="7"/>
      <c r="H29" s="7"/>
      <c r="I29" s="7"/>
      <c r="J29" s="7"/>
      <c r="K29" s="7"/>
      <c r="L29" s="7"/>
      <c r="M29" s="7"/>
      <c r="N29" s="21">
        <f t="shared" si="1"/>
        <v>0</v>
      </c>
    </row>
    <row r="30" spans="1:14" ht="14.1" customHeight="1">
      <c r="A30" s="10" t="s">
        <v>162</v>
      </c>
      <c r="B30" s="7"/>
      <c r="C30" s="7"/>
      <c r="D30" s="7"/>
      <c r="E30" s="7"/>
      <c r="F30" s="7"/>
      <c r="G30" s="7"/>
      <c r="H30" s="7"/>
      <c r="I30" s="7"/>
      <c r="J30" s="7">
        <f>J31+J32</f>
        <v>0</v>
      </c>
      <c r="K30" s="7"/>
      <c r="L30" s="7"/>
      <c r="M30" s="7"/>
      <c r="N30" s="21">
        <f t="shared" si="1"/>
        <v>0</v>
      </c>
    </row>
    <row r="31" spans="1:14" ht="14.1" customHeight="1">
      <c r="A31" s="10" t="s">
        <v>163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21">
        <f t="shared" si="1"/>
        <v>0</v>
      </c>
    </row>
    <row r="32" spans="1:14" ht="14.1" customHeight="1">
      <c r="A32" s="10" t="s">
        <v>164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1">
        <f t="shared" si="1"/>
        <v>0</v>
      </c>
    </row>
    <row r="33" spans="1:14" ht="14.1" customHeight="1">
      <c r="A33" s="10" t="s">
        <v>165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21">
        <f t="shared" si="1"/>
        <v>0</v>
      </c>
    </row>
    <row r="34" spans="1:14" ht="14.1" customHeight="1">
      <c r="A34" s="12" t="s">
        <v>166</v>
      </c>
      <c r="B34" s="13">
        <f t="shared" ref="B34:M34" si="7">B11+B12</f>
        <v>0</v>
      </c>
      <c r="C34" s="13">
        <f t="shared" si="7"/>
        <v>0</v>
      </c>
      <c r="D34" s="13">
        <f t="shared" si="7"/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 t="e">
        <f t="shared" si="7"/>
        <v>#REF!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13" t="e">
        <f t="shared" si="7"/>
        <v>#REF!</v>
      </c>
      <c r="N34" s="22" t="e">
        <f t="shared" si="1"/>
        <v>#REF!</v>
      </c>
    </row>
    <row r="35" spans="1:14" ht="14.1" customHeight="1">
      <c r="N35" s="2"/>
    </row>
    <row r="36" spans="1:14" ht="14.1" customHeight="1">
      <c r="A36" s="123" t="s">
        <v>167</v>
      </c>
    </row>
    <row r="37" spans="1:14" ht="20.2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20.25" customHeight="1">
      <c r="A38" s="14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s="2" customFormat="1" ht="27">
      <c r="A39" s="149" t="str">
        <f>A1</f>
        <v>所有者权益变动表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  <row r="40" spans="1:14" ht="14.1" customHeight="1">
      <c r="N40" s="18" t="s">
        <v>123</v>
      </c>
    </row>
    <row r="41" spans="1:14" ht="14.1" customHeight="1">
      <c r="A41" s="4" t="e">
        <f>A3</f>
        <v>#REF!</v>
      </c>
      <c r="M41" s="19"/>
      <c r="N41" s="23" t="s">
        <v>124</v>
      </c>
    </row>
    <row r="42" spans="1:14" ht="14.1" customHeight="1">
      <c r="A42" s="143" t="s">
        <v>125</v>
      </c>
      <c r="B42" s="147" t="e">
        <f>#REF!</f>
        <v>#REF!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8"/>
    </row>
    <row r="43" spans="1:14" ht="14.1" customHeight="1">
      <c r="A43" s="144"/>
      <c r="B43" s="139" t="str">
        <f>B5</f>
        <v>实收资本</v>
      </c>
      <c r="C43" s="141" t="str">
        <f>C5</f>
        <v>其他权益工具</v>
      </c>
      <c r="D43" s="141"/>
      <c r="E43" s="141"/>
      <c r="F43" s="141"/>
      <c r="G43" s="139" t="s">
        <v>128</v>
      </c>
      <c r="H43" s="139" t="s">
        <v>129</v>
      </c>
      <c r="I43" s="138" t="str">
        <f t="shared" ref="I43:N43" si="8">I5</f>
        <v>其他综合收益</v>
      </c>
      <c r="J43" s="137" t="str">
        <f t="shared" si="8"/>
        <v>专项储备</v>
      </c>
      <c r="K43" s="139" t="str">
        <f t="shared" si="8"/>
        <v>盈余公积</v>
      </c>
      <c r="L43" s="137" t="str">
        <f t="shared" si="8"/>
        <v>一般风险准备</v>
      </c>
      <c r="M43" s="139" t="str">
        <f t="shared" si="8"/>
        <v>未分配利润</v>
      </c>
      <c r="N43" s="140" t="str">
        <f t="shared" si="8"/>
        <v>所有者权益合计</v>
      </c>
    </row>
    <row r="44" spans="1:14" ht="14.1" customHeight="1">
      <c r="A44" s="144"/>
      <c r="B44" s="139"/>
      <c r="C44" s="5" t="str">
        <f>C6</f>
        <v>优先股</v>
      </c>
      <c r="D44" s="5" t="str">
        <f>D6</f>
        <v>永续债</v>
      </c>
      <c r="E44" s="5" t="str">
        <f>E6</f>
        <v>其他</v>
      </c>
      <c r="F44" s="5" t="str">
        <f>F6</f>
        <v>小计</v>
      </c>
      <c r="G44" s="139"/>
      <c r="H44" s="139"/>
      <c r="I44" s="138"/>
      <c r="J44" s="137"/>
      <c r="K44" s="139"/>
      <c r="L44" s="137"/>
      <c r="M44" s="139"/>
      <c r="N44" s="140"/>
    </row>
    <row r="45" spans="1:14" ht="14.1" customHeight="1">
      <c r="A45" s="6" t="str">
        <f>A7</f>
        <v>一、上年年末余额</v>
      </c>
      <c r="B45" s="7"/>
      <c r="C45" s="7"/>
      <c r="D45" s="7"/>
      <c r="E45" s="7"/>
      <c r="F45" s="7">
        <f>SUM(C45:E45)</f>
        <v>0</v>
      </c>
      <c r="G45" s="7"/>
      <c r="H45" s="7"/>
      <c r="I45" s="7"/>
      <c r="J45" s="7"/>
      <c r="K45" s="7"/>
      <c r="L45" s="7"/>
      <c r="M45" s="7"/>
      <c r="N45" s="21">
        <f t="shared" ref="N45:N72" si="9">SUM(B45,F45:G45,I45:M45)-H45</f>
        <v>0</v>
      </c>
    </row>
    <row r="46" spans="1:14" ht="14.1" customHeight="1">
      <c r="A46" s="6" t="str">
        <f t="shared" ref="A46:A72" si="10">A8</f>
        <v>加：会计政策变更</v>
      </c>
      <c r="B46" s="7"/>
      <c r="C46" s="7"/>
      <c r="D46" s="7"/>
      <c r="E46" s="7"/>
      <c r="F46" s="7">
        <f>SUM(C46:E46)</f>
        <v>0</v>
      </c>
      <c r="G46" s="7"/>
      <c r="H46" s="7"/>
      <c r="I46" s="7"/>
      <c r="J46" s="7"/>
      <c r="K46" s="7"/>
      <c r="L46" s="7"/>
      <c r="M46" s="7"/>
      <c r="N46" s="21">
        <f t="shared" si="9"/>
        <v>0</v>
      </c>
    </row>
    <row r="47" spans="1:14" ht="14.1" customHeight="1">
      <c r="A47" s="6" t="str">
        <f t="shared" si="10"/>
        <v>前期差错更正</v>
      </c>
      <c r="B47" s="7"/>
      <c r="C47" s="7"/>
      <c r="D47" s="7"/>
      <c r="E47" s="7"/>
      <c r="F47" s="7">
        <f>SUM(C47:E47)</f>
        <v>0</v>
      </c>
      <c r="G47" s="7"/>
      <c r="H47" s="7"/>
      <c r="I47" s="7"/>
      <c r="J47" s="7"/>
      <c r="K47" s="7"/>
      <c r="L47" s="7"/>
      <c r="M47" s="7"/>
      <c r="N47" s="21">
        <f t="shared" si="9"/>
        <v>0</v>
      </c>
    </row>
    <row r="48" spans="1:14" ht="14.1" customHeight="1">
      <c r="A48" s="8" t="str">
        <f t="shared" si="10"/>
        <v>其他</v>
      </c>
      <c r="B48" s="7"/>
      <c r="C48" s="7"/>
      <c r="D48" s="7"/>
      <c r="E48" s="7"/>
      <c r="F48" s="7">
        <f>SUM(C48:E48)</f>
        <v>0</v>
      </c>
      <c r="G48" s="7"/>
      <c r="H48" s="7"/>
      <c r="I48" s="7"/>
      <c r="J48" s="7"/>
      <c r="K48" s="7"/>
      <c r="L48" s="7"/>
      <c r="M48" s="7"/>
      <c r="N48" s="21">
        <f t="shared" si="9"/>
        <v>0</v>
      </c>
    </row>
    <row r="49" spans="1:14" ht="14.1" customHeight="1">
      <c r="A49" s="6" t="str">
        <f t="shared" si="10"/>
        <v>二、本年年初余额</v>
      </c>
      <c r="B49" s="7">
        <f t="shared" ref="B49:H49" si="11">B45+B46+B47</f>
        <v>0</v>
      </c>
      <c r="C49" s="7">
        <f t="shared" si="11"/>
        <v>0</v>
      </c>
      <c r="D49" s="7">
        <f t="shared" si="11"/>
        <v>0</v>
      </c>
      <c r="E49" s="7">
        <f t="shared" si="11"/>
        <v>0</v>
      </c>
      <c r="F49" s="7">
        <f t="shared" si="11"/>
        <v>0</v>
      </c>
      <c r="G49" s="7">
        <f t="shared" si="11"/>
        <v>0</v>
      </c>
      <c r="H49" s="7">
        <f t="shared" si="11"/>
        <v>0</v>
      </c>
      <c r="I49" s="7"/>
      <c r="J49" s="7"/>
      <c r="K49" s="7">
        <f>K45+K46+K47</f>
        <v>0</v>
      </c>
      <c r="L49" s="7">
        <f>L45+L46+L47</f>
        <v>0</v>
      </c>
      <c r="M49" s="7">
        <f>M45+M46+M47</f>
        <v>0</v>
      </c>
      <c r="N49" s="21">
        <f t="shared" si="9"/>
        <v>0</v>
      </c>
    </row>
    <row r="50" spans="1:14" ht="14.1" customHeight="1">
      <c r="A50" s="6" t="str">
        <f t="shared" si="10"/>
        <v>三、本年增减变动金额（减少以“-”号填列）</v>
      </c>
      <c r="B50" s="7">
        <f t="shared" ref="B50:M50" si="12">SUM(B51:B52,B57,B62,B68,B71)</f>
        <v>0</v>
      </c>
      <c r="C50" s="7">
        <f t="shared" si="12"/>
        <v>0</v>
      </c>
      <c r="D50" s="7">
        <f t="shared" si="12"/>
        <v>0</v>
      </c>
      <c r="E50" s="7">
        <f t="shared" si="12"/>
        <v>0</v>
      </c>
      <c r="F50" s="7">
        <f t="shared" si="12"/>
        <v>0</v>
      </c>
      <c r="G50" s="7">
        <f t="shared" si="12"/>
        <v>0</v>
      </c>
      <c r="H50" s="7">
        <f t="shared" si="12"/>
        <v>0</v>
      </c>
      <c r="I50" s="7" t="e">
        <f t="shared" si="12"/>
        <v>#REF!</v>
      </c>
      <c r="J50" s="7">
        <f t="shared" si="12"/>
        <v>0</v>
      </c>
      <c r="K50" s="7">
        <f t="shared" si="12"/>
        <v>0</v>
      </c>
      <c r="L50" s="7">
        <f t="shared" si="12"/>
        <v>0</v>
      </c>
      <c r="M50" s="7" t="e">
        <f t="shared" si="12"/>
        <v>#REF!</v>
      </c>
      <c r="N50" s="21" t="e">
        <f t="shared" si="9"/>
        <v>#REF!</v>
      </c>
    </row>
    <row r="51" spans="1:14" ht="14.1" customHeight="1">
      <c r="A51" s="9" t="str">
        <f t="shared" si="10"/>
        <v>（一）综合收益总额</v>
      </c>
      <c r="B51" s="7"/>
      <c r="C51" s="7"/>
      <c r="D51" s="7"/>
      <c r="E51" s="7"/>
      <c r="F51" s="7"/>
      <c r="G51" s="7"/>
      <c r="H51" s="7"/>
      <c r="I51" s="7" t="e">
        <f>#REF!</f>
        <v>#REF!</v>
      </c>
      <c r="J51" s="7"/>
      <c r="K51" s="7"/>
      <c r="L51" s="7"/>
      <c r="M51" s="7" t="e">
        <f>#REF!</f>
        <v>#REF!</v>
      </c>
      <c r="N51" s="21" t="e">
        <f t="shared" si="9"/>
        <v>#REF!</v>
      </c>
    </row>
    <row r="52" spans="1:14" ht="14.1" customHeight="1">
      <c r="A52" s="6" t="str">
        <f t="shared" si="10"/>
        <v>（二）所有者投入和减少资本</v>
      </c>
      <c r="B52" s="7">
        <f t="shared" ref="B52:M52" si="13">SUM(B53:B56)</f>
        <v>0</v>
      </c>
      <c r="C52" s="7">
        <f t="shared" si="13"/>
        <v>0</v>
      </c>
      <c r="D52" s="7">
        <f t="shared" si="13"/>
        <v>0</v>
      </c>
      <c r="E52" s="7">
        <f t="shared" si="13"/>
        <v>0</v>
      </c>
      <c r="F52" s="7">
        <f t="shared" si="13"/>
        <v>0</v>
      </c>
      <c r="G52" s="7">
        <f t="shared" si="13"/>
        <v>0</v>
      </c>
      <c r="H52" s="7">
        <f t="shared" si="13"/>
        <v>0</v>
      </c>
      <c r="I52" s="7">
        <f t="shared" si="13"/>
        <v>0</v>
      </c>
      <c r="J52" s="7">
        <f t="shared" si="13"/>
        <v>0</v>
      </c>
      <c r="K52" s="7">
        <f t="shared" si="13"/>
        <v>0</v>
      </c>
      <c r="L52" s="7">
        <f t="shared" si="13"/>
        <v>0</v>
      </c>
      <c r="M52" s="7">
        <f t="shared" si="13"/>
        <v>0</v>
      </c>
      <c r="N52" s="21">
        <f t="shared" si="9"/>
        <v>0</v>
      </c>
    </row>
    <row r="53" spans="1:14" ht="14.1" customHeight="1">
      <c r="A53" s="6" t="str">
        <f t="shared" si="10"/>
        <v>1. 所有者投入资本</v>
      </c>
      <c r="B53" s="7"/>
      <c r="C53" s="7"/>
      <c r="D53" s="7"/>
      <c r="E53" s="7"/>
      <c r="F53" s="7">
        <f>SUM(C53:E53)</f>
        <v>0</v>
      </c>
      <c r="G53" s="7"/>
      <c r="H53" s="7"/>
      <c r="I53" s="7"/>
      <c r="J53" s="7"/>
      <c r="K53" s="7"/>
      <c r="L53" s="7"/>
      <c r="M53" s="7"/>
      <c r="N53" s="21">
        <f t="shared" si="9"/>
        <v>0</v>
      </c>
    </row>
    <row r="54" spans="1:14" ht="14.1" customHeight="1">
      <c r="A54" s="10" t="str">
        <f t="shared" si="10"/>
        <v>2. 其他权益工具持有者投入资本</v>
      </c>
      <c r="B54" s="7"/>
      <c r="C54" s="7"/>
      <c r="D54" s="7"/>
      <c r="E54" s="7"/>
      <c r="F54" s="7">
        <f>SUM(C54:E54)</f>
        <v>0</v>
      </c>
      <c r="G54" s="7"/>
      <c r="H54" s="7"/>
      <c r="I54" s="7"/>
      <c r="J54" s="7"/>
      <c r="K54" s="7"/>
      <c r="L54" s="7"/>
      <c r="M54" s="7"/>
      <c r="N54" s="21">
        <f t="shared" si="9"/>
        <v>0</v>
      </c>
    </row>
    <row r="55" spans="1:14" ht="14.1" customHeight="1">
      <c r="A55" s="6" t="str">
        <f t="shared" si="10"/>
        <v>3. 股份支付计入所有者权益的金额</v>
      </c>
      <c r="B55" s="7"/>
      <c r="C55" s="7"/>
      <c r="D55" s="7"/>
      <c r="E55" s="7"/>
      <c r="F55" s="7">
        <f>SUM(C55:E55)</f>
        <v>0</v>
      </c>
      <c r="G55" s="7"/>
      <c r="H55" s="7"/>
      <c r="I55" s="7"/>
      <c r="J55" s="7"/>
      <c r="K55" s="7"/>
      <c r="L55" s="7"/>
      <c r="M55" s="7"/>
      <c r="N55" s="21">
        <f t="shared" si="9"/>
        <v>0</v>
      </c>
    </row>
    <row r="56" spans="1:14" ht="14.1" customHeight="1">
      <c r="A56" s="6" t="str">
        <f t="shared" si="10"/>
        <v>4. 其他</v>
      </c>
      <c r="B56" s="7"/>
      <c r="C56" s="7"/>
      <c r="D56" s="7"/>
      <c r="E56" s="7"/>
      <c r="F56" s="7">
        <f>SUM(C56:E56)</f>
        <v>0</v>
      </c>
      <c r="G56" s="7"/>
      <c r="H56" s="7"/>
      <c r="I56" s="7"/>
      <c r="J56" s="7"/>
      <c r="K56" s="7"/>
      <c r="L56" s="7"/>
      <c r="M56" s="7"/>
      <c r="N56" s="21">
        <f t="shared" si="9"/>
        <v>0</v>
      </c>
    </row>
    <row r="57" spans="1:14" ht="14.1" customHeight="1">
      <c r="A57" s="6" t="str">
        <f t="shared" si="10"/>
        <v>（三）利润分配</v>
      </c>
      <c r="B57" s="7">
        <f t="shared" ref="B57:M57" si="14">SUM(B58:B61)</f>
        <v>0</v>
      </c>
      <c r="C57" s="7">
        <f t="shared" si="14"/>
        <v>0</v>
      </c>
      <c r="D57" s="7">
        <f t="shared" si="14"/>
        <v>0</v>
      </c>
      <c r="E57" s="7">
        <f t="shared" si="14"/>
        <v>0</v>
      </c>
      <c r="F57" s="7">
        <f t="shared" si="14"/>
        <v>0</v>
      </c>
      <c r="G57" s="7">
        <f t="shared" si="14"/>
        <v>0</v>
      </c>
      <c r="H57" s="7">
        <f t="shared" si="14"/>
        <v>0</v>
      </c>
      <c r="I57" s="7">
        <f t="shared" si="14"/>
        <v>0</v>
      </c>
      <c r="J57" s="7">
        <f t="shared" si="14"/>
        <v>0</v>
      </c>
      <c r="K57" s="7">
        <f t="shared" si="14"/>
        <v>0</v>
      </c>
      <c r="L57" s="7">
        <f t="shared" si="14"/>
        <v>0</v>
      </c>
      <c r="M57" s="7">
        <f t="shared" si="14"/>
        <v>0</v>
      </c>
      <c r="N57" s="21">
        <f t="shared" si="9"/>
        <v>0</v>
      </c>
    </row>
    <row r="58" spans="1:14" ht="14.1" customHeight="1">
      <c r="A58" s="6" t="str">
        <f t="shared" si="10"/>
        <v>1. 提取盈余公积</v>
      </c>
      <c r="B58" s="7"/>
      <c r="C58" s="7"/>
      <c r="D58" s="7"/>
      <c r="E58" s="7"/>
      <c r="F58" s="7">
        <f>SUM(C58:E58)</f>
        <v>0</v>
      </c>
      <c r="G58" s="7"/>
      <c r="H58" s="7"/>
      <c r="I58" s="7"/>
      <c r="J58" s="7"/>
      <c r="K58" s="7"/>
      <c r="L58" s="7"/>
      <c r="M58" s="7">
        <f>-K58</f>
        <v>0</v>
      </c>
      <c r="N58" s="21">
        <f t="shared" si="9"/>
        <v>0</v>
      </c>
    </row>
    <row r="59" spans="1:14" ht="14.1" customHeight="1">
      <c r="A59" s="10" t="str">
        <f t="shared" si="10"/>
        <v>2. 提取一般风险准备</v>
      </c>
      <c r="B59" s="7"/>
      <c r="C59" s="7"/>
      <c r="D59" s="7"/>
      <c r="E59" s="7"/>
      <c r="F59" s="7">
        <f>SUM(C59:E59)</f>
        <v>0</v>
      </c>
      <c r="G59" s="7"/>
      <c r="H59" s="7"/>
      <c r="I59" s="7"/>
      <c r="J59" s="7"/>
      <c r="K59" s="7"/>
      <c r="L59" s="7"/>
      <c r="M59" s="7"/>
      <c r="N59" s="21">
        <f t="shared" si="9"/>
        <v>0</v>
      </c>
    </row>
    <row r="60" spans="1:14" ht="14.1" customHeight="1">
      <c r="A60" s="6" t="str">
        <f t="shared" si="10"/>
        <v>3.对所有者的分配</v>
      </c>
      <c r="B60" s="7"/>
      <c r="C60" s="7"/>
      <c r="D60" s="7"/>
      <c r="E60" s="7"/>
      <c r="F60" s="7">
        <f>SUM(C60:E60)</f>
        <v>0</v>
      </c>
      <c r="G60" s="7"/>
      <c r="H60" s="7"/>
      <c r="I60" s="7"/>
      <c r="J60" s="7"/>
      <c r="K60" s="7"/>
      <c r="L60" s="7"/>
      <c r="M60" s="7"/>
      <c r="N60" s="21">
        <f t="shared" si="9"/>
        <v>0</v>
      </c>
    </row>
    <row r="61" spans="1:14" ht="14.1" customHeight="1">
      <c r="A61" s="6" t="str">
        <f t="shared" si="10"/>
        <v>4. 其他</v>
      </c>
      <c r="B61" s="7"/>
      <c r="C61" s="7"/>
      <c r="D61" s="7"/>
      <c r="E61" s="7"/>
      <c r="F61" s="7">
        <f>SUM(C61:E61)</f>
        <v>0</v>
      </c>
      <c r="G61" s="7"/>
      <c r="H61" s="7"/>
      <c r="I61" s="7"/>
      <c r="J61" s="7"/>
      <c r="K61" s="7"/>
      <c r="L61" s="7"/>
      <c r="M61" s="7"/>
      <c r="N61" s="21">
        <f t="shared" si="9"/>
        <v>0</v>
      </c>
    </row>
    <row r="62" spans="1:14" ht="14.1" customHeight="1">
      <c r="A62" s="6" t="str">
        <f t="shared" si="10"/>
        <v>（四）所有者权益内部结转</v>
      </c>
      <c r="B62" s="7">
        <f t="shared" ref="B62:M62" si="15">SUM(B63:B67)</f>
        <v>0</v>
      </c>
      <c r="C62" s="7">
        <f t="shared" si="15"/>
        <v>0</v>
      </c>
      <c r="D62" s="7">
        <f t="shared" si="15"/>
        <v>0</v>
      </c>
      <c r="E62" s="7">
        <f t="shared" si="15"/>
        <v>0</v>
      </c>
      <c r="F62" s="7">
        <f t="shared" si="15"/>
        <v>0</v>
      </c>
      <c r="G62" s="7">
        <f t="shared" si="15"/>
        <v>0</v>
      </c>
      <c r="H62" s="7">
        <f t="shared" si="15"/>
        <v>0</v>
      </c>
      <c r="I62" s="7">
        <f t="shared" si="15"/>
        <v>0</v>
      </c>
      <c r="J62" s="7">
        <f t="shared" si="15"/>
        <v>0</v>
      </c>
      <c r="K62" s="7">
        <f t="shared" si="15"/>
        <v>0</v>
      </c>
      <c r="L62" s="7">
        <f t="shared" si="15"/>
        <v>0</v>
      </c>
      <c r="M62" s="7">
        <f t="shared" si="15"/>
        <v>0</v>
      </c>
      <c r="N62" s="21">
        <f t="shared" si="9"/>
        <v>0</v>
      </c>
    </row>
    <row r="63" spans="1:14" ht="14.1" customHeight="1">
      <c r="A63" s="6" t="str">
        <f t="shared" si="10"/>
        <v>1. 资本公积转增资本</v>
      </c>
      <c r="B63" s="7"/>
      <c r="C63" s="7"/>
      <c r="D63" s="7"/>
      <c r="E63" s="7"/>
      <c r="F63" s="7">
        <f>SUM(C63:E63)</f>
        <v>0</v>
      </c>
      <c r="G63" s="7">
        <f>-B63</f>
        <v>0</v>
      </c>
      <c r="H63" s="7"/>
      <c r="I63" s="7"/>
      <c r="J63" s="7"/>
      <c r="K63" s="7"/>
      <c r="L63" s="7"/>
      <c r="M63" s="7"/>
      <c r="N63" s="21">
        <f t="shared" si="9"/>
        <v>0</v>
      </c>
    </row>
    <row r="64" spans="1:14" ht="14.1" customHeight="1">
      <c r="A64" s="6" t="str">
        <f t="shared" si="10"/>
        <v>2. 盈余公积转增资本</v>
      </c>
      <c r="B64" s="7"/>
      <c r="C64" s="7"/>
      <c r="D64" s="7"/>
      <c r="E64" s="7"/>
      <c r="F64" s="7">
        <f>SUM(C64:E64)</f>
        <v>0</v>
      </c>
      <c r="G64" s="7"/>
      <c r="H64" s="7"/>
      <c r="I64" s="7"/>
      <c r="J64" s="7"/>
      <c r="K64" s="7"/>
      <c r="L64" s="7"/>
      <c r="M64" s="7"/>
      <c r="N64" s="21">
        <f t="shared" si="9"/>
        <v>0</v>
      </c>
    </row>
    <row r="65" spans="1:16" ht="14.1" customHeight="1">
      <c r="A65" s="6" t="str">
        <f t="shared" si="10"/>
        <v>3. 盈余公积弥补亏损</v>
      </c>
      <c r="B65" s="7"/>
      <c r="C65" s="7"/>
      <c r="D65" s="7"/>
      <c r="E65" s="7"/>
      <c r="F65" s="7">
        <f>SUM(C65:E65)</f>
        <v>0</v>
      </c>
      <c r="G65" s="7"/>
      <c r="H65" s="7"/>
      <c r="I65" s="7"/>
      <c r="J65" s="7"/>
      <c r="K65" s="7"/>
      <c r="L65" s="7"/>
      <c r="M65" s="7"/>
      <c r="N65" s="21">
        <f t="shared" si="9"/>
        <v>0</v>
      </c>
    </row>
    <row r="66" spans="1:16">
      <c r="A66" s="11" t="str">
        <f t="shared" si="10"/>
        <v>4.设定受益计划变动额结转留存收益</v>
      </c>
      <c r="B66" s="7"/>
      <c r="C66" s="7"/>
      <c r="D66" s="7"/>
      <c r="E66" s="7"/>
      <c r="F66" s="7">
        <f>SUM(C66:E66)</f>
        <v>0</v>
      </c>
      <c r="G66" s="7"/>
      <c r="H66" s="7"/>
      <c r="I66" s="7"/>
      <c r="J66" s="7"/>
      <c r="K66" s="7"/>
      <c r="L66" s="7"/>
      <c r="M66" s="7"/>
      <c r="N66" s="21">
        <f t="shared" si="9"/>
        <v>0</v>
      </c>
    </row>
    <row r="67" spans="1:16" ht="14.1" customHeight="1">
      <c r="A67" s="6" t="str">
        <f t="shared" si="10"/>
        <v>5. 其他</v>
      </c>
      <c r="B67" s="7"/>
      <c r="C67" s="7"/>
      <c r="D67" s="7"/>
      <c r="E67" s="7"/>
      <c r="F67" s="7">
        <f>SUM(C67:E67)</f>
        <v>0</v>
      </c>
      <c r="G67" s="7"/>
      <c r="H67" s="7"/>
      <c r="I67" s="7"/>
      <c r="J67" s="7"/>
      <c r="K67" s="7"/>
      <c r="L67" s="7"/>
      <c r="M67" s="7"/>
      <c r="N67" s="21">
        <f t="shared" si="9"/>
        <v>0</v>
      </c>
    </row>
    <row r="68" spans="1:16" ht="14.1" customHeight="1">
      <c r="A68" s="10" t="str">
        <f t="shared" si="10"/>
        <v>（五）专项储备</v>
      </c>
      <c r="B68" s="7"/>
      <c r="C68" s="7"/>
      <c r="D68" s="7"/>
      <c r="E68" s="7"/>
      <c r="F68" s="7"/>
      <c r="G68" s="7"/>
      <c r="H68" s="7"/>
      <c r="I68" s="7"/>
      <c r="J68" s="7">
        <f>J69+J70</f>
        <v>0</v>
      </c>
      <c r="K68" s="7"/>
      <c r="L68" s="7"/>
      <c r="M68" s="7"/>
      <c r="N68" s="21">
        <f t="shared" si="9"/>
        <v>0</v>
      </c>
    </row>
    <row r="69" spans="1:16" ht="14.1" customHeight="1">
      <c r="A69" s="10" t="str">
        <f t="shared" si="10"/>
        <v>1. 本期提取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21">
        <f t="shared" si="9"/>
        <v>0</v>
      </c>
    </row>
    <row r="70" spans="1:16" ht="14.1" customHeight="1">
      <c r="A70" s="10" t="str">
        <f t="shared" si="10"/>
        <v>2. 本期使用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21">
        <f t="shared" si="9"/>
        <v>0</v>
      </c>
    </row>
    <row r="71" spans="1:16" ht="14.1" customHeight="1">
      <c r="A71" s="10" t="str">
        <f t="shared" si="10"/>
        <v>（六）其他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21">
        <f t="shared" si="9"/>
        <v>0</v>
      </c>
    </row>
    <row r="72" spans="1:16" ht="14.1" customHeight="1">
      <c r="A72" s="12" t="str">
        <f t="shared" si="10"/>
        <v>四、本年年末余额</v>
      </c>
      <c r="B72" s="13">
        <f t="shared" ref="B72:M72" si="16">B49+B50</f>
        <v>0</v>
      </c>
      <c r="C72" s="13">
        <f t="shared" si="16"/>
        <v>0</v>
      </c>
      <c r="D72" s="13">
        <f t="shared" si="16"/>
        <v>0</v>
      </c>
      <c r="E72" s="13">
        <f t="shared" si="16"/>
        <v>0</v>
      </c>
      <c r="F72" s="13">
        <f t="shared" si="16"/>
        <v>0</v>
      </c>
      <c r="G72" s="13">
        <f t="shared" si="16"/>
        <v>0</v>
      </c>
      <c r="H72" s="13">
        <f t="shared" si="16"/>
        <v>0</v>
      </c>
      <c r="I72" s="13" t="e">
        <f t="shared" si="16"/>
        <v>#REF!</v>
      </c>
      <c r="J72" s="13">
        <f t="shared" si="16"/>
        <v>0</v>
      </c>
      <c r="K72" s="13">
        <f t="shared" si="16"/>
        <v>0</v>
      </c>
      <c r="L72" s="13">
        <f t="shared" si="16"/>
        <v>0</v>
      </c>
      <c r="M72" s="13" t="e">
        <f t="shared" si="16"/>
        <v>#REF!</v>
      </c>
      <c r="N72" s="22" t="e">
        <f t="shared" si="9"/>
        <v>#REF!</v>
      </c>
    </row>
    <row r="73" spans="1:16" ht="14.1" customHeight="1">
      <c r="N73" s="2"/>
    </row>
    <row r="74" spans="1:16" ht="14.1" customHeight="1">
      <c r="A74" s="123" t="s">
        <v>167</v>
      </c>
      <c r="O74" s="15"/>
      <c r="P74" s="16"/>
    </row>
    <row r="75" spans="1:16" ht="20.25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6" ht="33" customHeight="1">
      <c r="A76" s="142" t="s">
        <v>168</v>
      </c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</row>
    <row r="77" spans="1:16" ht="27.75">
      <c r="A77" s="24" t="s">
        <v>169</v>
      </c>
    </row>
  </sheetData>
  <mergeCells count="27">
    <mergeCell ref="A1:N1"/>
    <mergeCell ref="B4:N4"/>
    <mergeCell ref="C5:F5"/>
    <mergeCell ref="A39:N39"/>
    <mergeCell ref="B42:N42"/>
    <mergeCell ref="L5:L6"/>
    <mergeCell ref="C43:F43"/>
    <mergeCell ref="A76:N76"/>
    <mergeCell ref="A4:A6"/>
    <mergeCell ref="A42:A44"/>
    <mergeCell ref="B5:B6"/>
    <mergeCell ref="B43:B44"/>
    <mergeCell ref="G5:G6"/>
    <mergeCell ref="G43:G44"/>
    <mergeCell ref="H5:H6"/>
    <mergeCell ref="H43:H44"/>
    <mergeCell ref="I5:I6"/>
    <mergeCell ref="I43:I44"/>
    <mergeCell ref="J5:J6"/>
    <mergeCell ref="J43:J44"/>
    <mergeCell ref="K5:K6"/>
    <mergeCell ref="K43:K44"/>
    <mergeCell ref="L43:L44"/>
    <mergeCell ref="M5:M6"/>
    <mergeCell ref="M43:M44"/>
    <mergeCell ref="N5:N6"/>
    <mergeCell ref="N43:N44"/>
  </mergeCells>
  <phoneticPr fontId="53" type="noConversion"/>
  <printOptions horizontalCentered="1" verticalCentered="1"/>
  <pageMargins left="0.118055555555556" right="0.118055555555556" top="0.98402777777777795" bottom="0.98402777777777795" header="0.51180555555555596" footer="0.66805555555555596"/>
  <pageSetup paperSize="9" scale="75" firstPageNumber="11" orientation="landscape" useFirstPageNumber="1" r:id="rId1"/>
  <headerFooter alignWithMargins="0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17</vt:i4>
      </vt:variant>
    </vt:vector>
  </HeadingPairs>
  <TitlesOfParts>
    <vt:vector size="37" baseType="lpstr">
      <vt:lpstr>财务报表汇总表</vt:lpstr>
      <vt:lpstr>2017资产负债表</vt:lpstr>
      <vt:lpstr>2017业务活动表</vt:lpstr>
      <vt:lpstr>2018资产负债表 </vt:lpstr>
      <vt:lpstr>2018业务活动表</vt:lpstr>
      <vt:lpstr>2019资产负债表  </vt:lpstr>
      <vt:lpstr>2019业务活动表</vt:lpstr>
      <vt:lpstr>2020资产负债表</vt:lpstr>
      <vt:lpstr>2020业务活动表</vt:lpstr>
      <vt:lpstr>2021资产负债表</vt:lpstr>
      <vt:lpstr>2021业务活动表</vt:lpstr>
      <vt:lpstr>2022资产负债表 </vt:lpstr>
      <vt:lpstr>2022业务活动表</vt:lpstr>
      <vt:lpstr>2023资产负债表</vt:lpstr>
      <vt:lpstr>2023业务活动表</vt:lpstr>
      <vt:lpstr>2024资产负债表 </vt:lpstr>
      <vt:lpstr>2024业务活动表</vt:lpstr>
      <vt:lpstr>2025资产负债表</vt:lpstr>
      <vt:lpstr>2025业务活动表</vt:lpstr>
      <vt:lpstr>母公司所有者权益变动表(有限责任公司) </vt:lpstr>
      <vt:lpstr>'2017业务活动表'!Print_Area</vt:lpstr>
      <vt:lpstr>'2017资产负债表'!Print_Area</vt:lpstr>
      <vt:lpstr>'2018业务活动表'!Print_Area</vt:lpstr>
      <vt:lpstr>'2018资产负债表 '!Print_Area</vt:lpstr>
      <vt:lpstr>'2019业务活动表'!Print_Area</vt:lpstr>
      <vt:lpstr>'2019资产负债表  '!Print_Area</vt:lpstr>
      <vt:lpstr>'2020业务活动表'!Print_Area</vt:lpstr>
      <vt:lpstr>'2020资产负债表'!Print_Area</vt:lpstr>
      <vt:lpstr>'2021业务活动表'!Print_Area</vt:lpstr>
      <vt:lpstr>'2021资产负债表'!Print_Area</vt:lpstr>
      <vt:lpstr>'2022业务活动表'!Print_Area</vt:lpstr>
      <vt:lpstr>'2022资产负债表 '!Print_Area</vt:lpstr>
      <vt:lpstr>'2023业务活动表'!Print_Area</vt:lpstr>
      <vt:lpstr>'2023资产负债表'!Print_Area</vt:lpstr>
      <vt:lpstr>'2024资产负债表 '!Print_Area</vt:lpstr>
      <vt:lpstr>'2025资产负债表'!Print_Area</vt:lpstr>
      <vt:lpstr>'母公司所有者权益变动表(有限责任公司) '!Print_Area</vt:lpstr>
    </vt:vector>
  </TitlesOfParts>
  <Company>武汉众环会计师事务所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刘忠新</dc:creator>
  <cp:lastModifiedBy>Wei Cang Jiao</cp:lastModifiedBy>
  <cp:lastPrinted>2025-05-08T11:00:00Z</cp:lastPrinted>
  <dcterms:created xsi:type="dcterms:W3CDTF">2003-07-05T16:55:00Z</dcterms:created>
  <dcterms:modified xsi:type="dcterms:W3CDTF">2025-05-24T12:01:51Z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1EF22E3152F14BDC55151C68C2C5612D_43</vt:lpwstr>
  </property>
</Properties>
</file>